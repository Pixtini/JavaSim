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norkelly/Documents/JavaSim/game/expandingwild/"/>
    </mc:Choice>
  </mc:AlternateContent>
  <xr:revisionPtr revIDLastSave="0" documentId="13_ncr:1_{360D69AB-D365-1646-A693-F025C39D35C1}" xr6:coauthVersionLast="47" xr6:coauthVersionMax="47" xr10:uidLastSave="{00000000-0000-0000-0000-000000000000}"/>
  <bookViews>
    <workbookView xWindow="17380" yWindow="-21100" windowWidth="38400" windowHeight="21100" activeTab="3" xr2:uid="{5C93F749-367F-2244-87B3-1D78344CC8A0}"/>
  </bookViews>
  <sheets>
    <sheet name="Sheet1" sheetId="1" r:id="rId1"/>
    <sheet name="Sheet2" sheetId="2" r:id="rId2"/>
    <sheet name="Reels" sheetId="5" r:id="rId3"/>
    <sheet name="Config" sheetId="6" r:id="rId4"/>
  </sheets>
  <externalReferences>
    <externalReference r:id="rId5"/>
  </externalReferences>
  <definedNames>
    <definedName name="Rows">[1]Summary!$B$50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21" i="2" l="1"/>
  <c r="I19" i="2"/>
  <c r="I22" i="2"/>
  <c r="AC10" i="1"/>
  <c r="BB17" i="1"/>
  <c r="BQ22" i="1"/>
  <c r="B43" i="1" a="1"/>
  <c r="U57" i="1"/>
  <c r="B65" i="2" a="1"/>
  <c r="C34" i="2"/>
  <c r="C66" i="2" s="1"/>
  <c r="C43" i="2"/>
  <c r="B17" i="2" a="1"/>
  <c r="Q41" i="2"/>
  <c r="R41" i="2" s="1"/>
  <c r="O41" i="2"/>
  <c r="N41" i="2"/>
  <c r="P41" i="2" s="1"/>
  <c r="L41" i="2"/>
  <c r="K41" i="2"/>
  <c r="J41" i="2"/>
  <c r="M41" i="2" s="1"/>
  <c r="Q40" i="2"/>
  <c r="R40" i="2" s="1"/>
  <c r="O40" i="2"/>
  <c r="N40" i="2"/>
  <c r="L40" i="2"/>
  <c r="K40" i="2"/>
  <c r="J40" i="2"/>
  <c r="M40" i="2" s="1"/>
  <c r="Q39" i="2"/>
  <c r="R39" i="2" s="1"/>
  <c r="O39" i="2"/>
  <c r="N39" i="2"/>
  <c r="L39" i="2"/>
  <c r="K39" i="2"/>
  <c r="J39" i="2"/>
  <c r="M39" i="2" s="1"/>
  <c r="Q38" i="2"/>
  <c r="R38" i="2" s="1"/>
  <c r="O38" i="2"/>
  <c r="N38" i="2"/>
  <c r="P38" i="2" s="1"/>
  <c r="L38" i="2"/>
  <c r="K38" i="2"/>
  <c r="J38" i="2"/>
  <c r="M38" i="2" s="1"/>
  <c r="Q37" i="2"/>
  <c r="R37" i="2" s="1"/>
  <c r="O37" i="2"/>
  <c r="N37" i="2"/>
  <c r="P37" i="2" s="1"/>
  <c r="L37" i="2"/>
  <c r="K37" i="2"/>
  <c r="J37" i="2"/>
  <c r="Q36" i="2"/>
  <c r="R36" i="2" s="1"/>
  <c r="O36" i="2"/>
  <c r="N36" i="2"/>
  <c r="P36" i="2" s="1"/>
  <c r="L36" i="2"/>
  <c r="K36" i="2"/>
  <c r="J36" i="2"/>
  <c r="M36" i="2" s="1"/>
  <c r="Q35" i="2"/>
  <c r="R35" i="2" s="1"/>
  <c r="O35" i="2"/>
  <c r="N35" i="2"/>
  <c r="P35" i="2" s="1"/>
  <c r="L35" i="2"/>
  <c r="K35" i="2"/>
  <c r="J35" i="2"/>
  <c r="Q34" i="2"/>
  <c r="R34" i="2" s="1"/>
  <c r="O34" i="2"/>
  <c r="N34" i="2"/>
  <c r="P34" i="2" s="1"/>
  <c r="L34" i="2"/>
  <c r="K34" i="2"/>
  <c r="J34" i="2"/>
  <c r="M34" i="2" s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I65" i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P64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BN57" i="1" s="1"/>
  <c r="AG57" i="1" s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ER57" i="1" s="1"/>
  <c r="CI57" i="1"/>
  <c r="EQ57" i="1" s="1"/>
  <c r="CH57" i="1"/>
  <c r="EP57" i="1" s="1"/>
  <c r="CG57" i="1"/>
  <c r="EO57" i="1" s="1"/>
  <c r="CF57" i="1"/>
  <c r="EN57" i="1" s="1"/>
  <c r="AY57" i="1"/>
  <c r="P57" i="1"/>
  <c r="EL56" i="1"/>
  <c r="EK56" i="1"/>
  <c r="EJ56" i="1"/>
  <c r="EI56" i="1"/>
  <c r="EG56" i="1"/>
  <c r="EF56" i="1"/>
  <c r="EE56" i="1"/>
  <c r="ED56" i="1"/>
  <c r="EB56" i="1"/>
  <c r="EA56" i="1"/>
  <c r="DZ56" i="1"/>
  <c r="DY56" i="1"/>
  <c r="DW56" i="1"/>
  <c r="DV56" i="1"/>
  <c r="DU56" i="1"/>
  <c r="DT56" i="1"/>
  <c r="DR56" i="1"/>
  <c r="DQ56" i="1"/>
  <c r="DP56" i="1"/>
  <c r="DO56" i="1"/>
  <c r="DM56" i="1"/>
  <c r="DL56" i="1"/>
  <c r="DK56" i="1"/>
  <c r="DJ56" i="1"/>
  <c r="DH56" i="1"/>
  <c r="DG56" i="1"/>
  <c r="DF56" i="1"/>
  <c r="DE56" i="1"/>
  <c r="DC56" i="1"/>
  <c r="DB56" i="1"/>
  <c r="DA56" i="1"/>
  <c r="CZ56" i="1"/>
  <c r="CX56" i="1"/>
  <c r="CW56" i="1"/>
  <c r="CV56" i="1"/>
  <c r="CU56" i="1"/>
  <c r="CS56" i="1"/>
  <c r="CR56" i="1"/>
  <c r="CQ56" i="1"/>
  <c r="CP56" i="1"/>
  <c r="CN56" i="1"/>
  <c r="CM56" i="1"/>
  <c r="CL56" i="1"/>
  <c r="CK56" i="1"/>
  <c r="CI56" i="1"/>
  <c r="CH56" i="1"/>
  <c r="CG56" i="1"/>
  <c r="CF56" i="1"/>
  <c r="P56" i="1"/>
  <c r="EM55" i="1"/>
  <c r="EK55" i="1"/>
  <c r="EJ55" i="1"/>
  <c r="EI55" i="1"/>
  <c r="EH55" i="1"/>
  <c r="EF55" i="1"/>
  <c r="EE55" i="1"/>
  <c r="ED55" i="1"/>
  <c r="EC55" i="1"/>
  <c r="EA55" i="1"/>
  <c r="DZ55" i="1"/>
  <c r="DY55" i="1"/>
  <c r="DX55" i="1"/>
  <c r="DV55" i="1"/>
  <c r="DU55" i="1"/>
  <c r="DT55" i="1"/>
  <c r="DS55" i="1"/>
  <c r="DQ55" i="1"/>
  <c r="DP55" i="1"/>
  <c r="DO55" i="1"/>
  <c r="DN55" i="1"/>
  <c r="DL55" i="1"/>
  <c r="DK55" i="1"/>
  <c r="DJ55" i="1"/>
  <c r="DI55" i="1"/>
  <c r="DG55" i="1"/>
  <c r="DF55" i="1"/>
  <c r="DE55" i="1"/>
  <c r="DD55" i="1"/>
  <c r="DB55" i="1"/>
  <c r="DA55" i="1"/>
  <c r="CZ55" i="1"/>
  <c r="CY55" i="1"/>
  <c r="CW55" i="1"/>
  <c r="CV55" i="1"/>
  <c r="CU55" i="1"/>
  <c r="CT55" i="1"/>
  <c r="CR55" i="1"/>
  <c r="CQ55" i="1"/>
  <c r="CP55" i="1"/>
  <c r="CO55" i="1"/>
  <c r="CM55" i="1"/>
  <c r="CL55" i="1"/>
  <c r="CK55" i="1"/>
  <c r="CJ55" i="1"/>
  <c r="ER55" i="1" s="1"/>
  <c r="CH55" i="1"/>
  <c r="EP55" i="1" s="1"/>
  <c r="CG55" i="1"/>
  <c r="EO55" i="1" s="1"/>
  <c r="CF55" i="1"/>
  <c r="EN55" i="1" s="1"/>
  <c r="P55" i="1"/>
  <c r="EK54" i="1"/>
  <c r="EJ54" i="1"/>
  <c r="EI54" i="1"/>
  <c r="EF54" i="1"/>
  <c r="EE54" i="1"/>
  <c r="ED54" i="1"/>
  <c r="EA54" i="1"/>
  <c r="DZ54" i="1"/>
  <c r="DY54" i="1"/>
  <c r="DV54" i="1"/>
  <c r="DU54" i="1"/>
  <c r="DT54" i="1"/>
  <c r="DQ54" i="1"/>
  <c r="DP54" i="1"/>
  <c r="DO54" i="1"/>
  <c r="DL54" i="1"/>
  <c r="DK54" i="1"/>
  <c r="DJ54" i="1"/>
  <c r="DG54" i="1"/>
  <c r="DF54" i="1"/>
  <c r="DE54" i="1"/>
  <c r="DB54" i="1"/>
  <c r="DA54" i="1"/>
  <c r="CZ54" i="1"/>
  <c r="CW54" i="1"/>
  <c r="CV54" i="1"/>
  <c r="CU54" i="1"/>
  <c r="CR54" i="1"/>
  <c r="CQ54" i="1"/>
  <c r="CP54" i="1"/>
  <c r="CM54" i="1"/>
  <c r="CL54" i="1"/>
  <c r="CK54" i="1"/>
  <c r="CH54" i="1"/>
  <c r="EP54" i="1" s="1"/>
  <c r="CG54" i="1"/>
  <c r="CF54" i="1"/>
  <c r="P54" i="1"/>
  <c r="EM53" i="1"/>
  <c r="EL53" i="1"/>
  <c r="EJ53" i="1"/>
  <c r="EI53" i="1"/>
  <c r="EH53" i="1"/>
  <c r="EG53" i="1"/>
  <c r="EE53" i="1"/>
  <c r="ED53" i="1"/>
  <c r="EC53" i="1"/>
  <c r="EB53" i="1"/>
  <c r="DZ53" i="1"/>
  <c r="DY53" i="1"/>
  <c r="DX53" i="1"/>
  <c r="DW53" i="1"/>
  <c r="DU53" i="1"/>
  <c r="DT53" i="1"/>
  <c r="DS53" i="1"/>
  <c r="DR53" i="1"/>
  <c r="DP53" i="1"/>
  <c r="DO53" i="1"/>
  <c r="DN53" i="1"/>
  <c r="DM53" i="1"/>
  <c r="DK53" i="1"/>
  <c r="DJ53" i="1"/>
  <c r="DI53" i="1"/>
  <c r="DH53" i="1"/>
  <c r="DF53" i="1"/>
  <c r="DE53" i="1"/>
  <c r="DD53" i="1"/>
  <c r="DC53" i="1"/>
  <c r="DA53" i="1"/>
  <c r="CZ53" i="1"/>
  <c r="CY53" i="1"/>
  <c r="CX53" i="1"/>
  <c r="CV53" i="1"/>
  <c r="CU53" i="1"/>
  <c r="CT53" i="1"/>
  <c r="CS53" i="1"/>
  <c r="CQ53" i="1"/>
  <c r="CP53" i="1"/>
  <c r="CO53" i="1"/>
  <c r="CN53" i="1"/>
  <c r="CL53" i="1"/>
  <c r="CK53" i="1"/>
  <c r="CJ53" i="1"/>
  <c r="CI53" i="1"/>
  <c r="CG53" i="1"/>
  <c r="CF53" i="1"/>
  <c r="P53" i="1"/>
  <c r="EL52" i="1"/>
  <c r="EJ52" i="1"/>
  <c r="EI52" i="1"/>
  <c r="EG52" i="1"/>
  <c r="EE52" i="1"/>
  <c r="ED52" i="1"/>
  <c r="EB52" i="1"/>
  <c r="DZ52" i="1"/>
  <c r="DY52" i="1"/>
  <c r="DW52" i="1"/>
  <c r="DU52" i="1"/>
  <c r="DT52" i="1"/>
  <c r="DR52" i="1"/>
  <c r="DP52" i="1"/>
  <c r="DO52" i="1"/>
  <c r="DM52" i="1"/>
  <c r="DK52" i="1"/>
  <c r="DJ52" i="1"/>
  <c r="DH52" i="1"/>
  <c r="DF52" i="1"/>
  <c r="DE52" i="1"/>
  <c r="DC52" i="1"/>
  <c r="DA52" i="1"/>
  <c r="CZ52" i="1"/>
  <c r="CX52" i="1"/>
  <c r="CV52" i="1"/>
  <c r="CU52" i="1"/>
  <c r="CS52" i="1"/>
  <c r="CQ52" i="1"/>
  <c r="CP52" i="1"/>
  <c r="CN52" i="1"/>
  <c r="CL52" i="1"/>
  <c r="CK52" i="1"/>
  <c r="CI52" i="1"/>
  <c r="EQ52" i="1" s="1"/>
  <c r="CG52" i="1"/>
  <c r="EO52" i="1" s="1"/>
  <c r="CF52" i="1"/>
  <c r="EN52" i="1" s="1"/>
  <c r="P52" i="1"/>
  <c r="EM51" i="1"/>
  <c r="EJ51" i="1"/>
  <c r="EI51" i="1"/>
  <c r="EH51" i="1"/>
  <c r="EE51" i="1"/>
  <c r="ED51" i="1"/>
  <c r="EC51" i="1"/>
  <c r="DZ51" i="1"/>
  <c r="DY51" i="1"/>
  <c r="DX51" i="1"/>
  <c r="DU51" i="1"/>
  <c r="DT51" i="1"/>
  <c r="DS51" i="1"/>
  <c r="DP51" i="1"/>
  <c r="DO51" i="1"/>
  <c r="DN51" i="1"/>
  <c r="DK51" i="1"/>
  <c r="DJ51" i="1"/>
  <c r="DI51" i="1"/>
  <c r="DF51" i="1"/>
  <c r="DE51" i="1"/>
  <c r="DD51" i="1"/>
  <c r="DA51" i="1"/>
  <c r="CZ51" i="1"/>
  <c r="CY51" i="1"/>
  <c r="CV51" i="1"/>
  <c r="CU51" i="1"/>
  <c r="CT51" i="1"/>
  <c r="CQ51" i="1"/>
  <c r="CP51" i="1"/>
  <c r="CO51" i="1"/>
  <c r="CL51" i="1"/>
  <c r="CK51" i="1"/>
  <c r="CJ51" i="1"/>
  <c r="ER51" i="1" s="1"/>
  <c r="CG51" i="1"/>
  <c r="CF51" i="1"/>
  <c r="EN51" i="1" s="1"/>
  <c r="P51" i="1"/>
  <c r="EJ50" i="1"/>
  <c r="EI50" i="1"/>
  <c r="EE50" i="1"/>
  <c r="ED50" i="1"/>
  <c r="DZ50" i="1"/>
  <c r="DY50" i="1"/>
  <c r="DU50" i="1"/>
  <c r="DT50" i="1"/>
  <c r="DP50" i="1"/>
  <c r="DO50" i="1"/>
  <c r="DK50" i="1"/>
  <c r="DJ50" i="1"/>
  <c r="DF50" i="1"/>
  <c r="DE50" i="1"/>
  <c r="DA50" i="1"/>
  <c r="CZ50" i="1"/>
  <c r="CV50" i="1"/>
  <c r="CU50" i="1"/>
  <c r="CQ50" i="1"/>
  <c r="CP50" i="1"/>
  <c r="CL50" i="1"/>
  <c r="CK50" i="1"/>
  <c r="CG50" i="1"/>
  <c r="EO50" i="1" s="1"/>
  <c r="CF50" i="1"/>
  <c r="EN50" i="1" s="1"/>
  <c r="P50" i="1"/>
  <c r="EM49" i="1"/>
  <c r="EL49" i="1"/>
  <c r="EK49" i="1"/>
  <c r="EI49" i="1"/>
  <c r="EH49" i="1"/>
  <c r="EG49" i="1"/>
  <c r="EF49" i="1"/>
  <c r="ED49" i="1"/>
  <c r="EC49" i="1"/>
  <c r="EB49" i="1"/>
  <c r="EA49" i="1"/>
  <c r="DY49" i="1"/>
  <c r="DX49" i="1"/>
  <c r="DW49" i="1"/>
  <c r="DV49" i="1"/>
  <c r="DT49" i="1"/>
  <c r="DS49" i="1"/>
  <c r="DR49" i="1"/>
  <c r="DQ49" i="1"/>
  <c r="DO49" i="1"/>
  <c r="DN49" i="1"/>
  <c r="DM49" i="1"/>
  <c r="DL49" i="1"/>
  <c r="DJ49" i="1"/>
  <c r="DI49" i="1"/>
  <c r="DH49" i="1"/>
  <c r="DG49" i="1"/>
  <c r="DE49" i="1"/>
  <c r="DD49" i="1"/>
  <c r="DC49" i="1"/>
  <c r="DB49" i="1"/>
  <c r="CZ49" i="1"/>
  <c r="CY49" i="1"/>
  <c r="CX49" i="1"/>
  <c r="CW49" i="1"/>
  <c r="CU49" i="1"/>
  <c r="CT49" i="1"/>
  <c r="CS49" i="1"/>
  <c r="CR49" i="1"/>
  <c r="CP49" i="1"/>
  <c r="CO49" i="1"/>
  <c r="CN49" i="1"/>
  <c r="CM49" i="1"/>
  <c r="CK49" i="1"/>
  <c r="CJ49" i="1"/>
  <c r="CI49" i="1"/>
  <c r="EQ49" i="1" s="1"/>
  <c r="CH49" i="1"/>
  <c r="EP49" i="1" s="1"/>
  <c r="CF49" i="1"/>
  <c r="EN49" i="1" s="1"/>
  <c r="P49" i="1"/>
  <c r="EL48" i="1"/>
  <c r="EK48" i="1"/>
  <c r="EI48" i="1"/>
  <c r="EG48" i="1"/>
  <c r="EF48" i="1"/>
  <c r="ED48" i="1"/>
  <c r="EB48" i="1"/>
  <c r="EA48" i="1"/>
  <c r="DY48" i="1"/>
  <c r="DW48" i="1"/>
  <c r="DV48" i="1"/>
  <c r="DT48" i="1"/>
  <c r="DR48" i="1"/>
  <c r="DQ48" i="1"/>
  <c r="DO48" i="1"/>
  <c r="DM48" i="1"/>
  <c r="DL48" i="1"/>
  <c r="DJ48" i="1"/>
  <c r="DH48" i="1"/>
  <c r="DG48" i="1"/>
  <c r="DE48" i="1"/>
  <c r="DC48" i="1"/>
  <c r="DB48" i="1"/>
  <c r="CZ48" i="1"/>
  <c r="CX48" i="1"/>
  <c r="CW48" i="1"/>
  <c r="CU48" i="1"/>
  <c r="CS48" i="1"/>
  <c r="CR48" i="1"/>
  <c r="CP48" i="1"/>
  <c r="CN48" i="1"/>
  <c r="CM48" i="1"/>
  <c r="CK48" i="1"/>
  <c r="CI48" i="1"/>
  <c r="EQ48" i="1" s="1"/>
  <c r="CH48" i="1"/>
  <c r="EP48" i="1" s="1"/>
  <c r="CF48" i="1"/>
  <c r="EN48" i="1" s="1"/>
  <c r="P48" i="1"/>
  <c r="EM47" i="1"/>
  <c r="EK47" i="1"/>
  <c r="EI47" i="1"/>
  <c r="EH47" i="1"/>
  <c r="EF47" i="1"/>
  <c r="ED47" i="1"/>
  <c r="EC47" i="1"/>
  <c r="EA47" i="1"/>
  <c r="DY47" i="1"/>
  <c r="DX47" i="1"/>
  <c r="DV47" i="1"/>
  <c r="DT47" i="1"/>
  <c r="DS47" i="1"/>
  <c r="DQ47" i="1"/>
  <c r="DO47" i="1"/>
  <c r="DN47" i="1"/>
  <c r="DL47" i="1"/>
  <c r="DJ47" i="1"/>
  <c r="DI47" i="1"/>
  <c r="DG47" i="1"/>
  <c r="DE47" i="1"/>
  <c r="DD47" i="1"/>
  <c r="DB47" i="1"/>
  <c r="CZ47" i="1"/>
  <c r="CY47" i="1"/>
  <c r="CW47" i="1"/>
  <c r="CU47" i="1"/>
  <c r="CT47" i="1"/>
  <c r="CR47" i="1"/>
  <c r="CP47" i="1"/>
  <c r="CO47" i="1"/>
  <c r="CM47" i="1"/>
  <c r="CK47" i="1"/>
  <c r="CJ47" i="1"/>
  <c r="CH47" i="1"/>
  <c r="CF47" i="1"/>
  <c r="P47" i="1"/>
  <c r="EK46" i="1"/>
  <c r="EI46" i="1"/>
  <c r="EF46" i="1"/>
  <c r="ED46" i="1"/>
  <c r="EA46" i="1"/>
  <c r="DY46" i="1"/>
  <c r="DV46" i="1"/>
  <c r="DT46" i="1"/>
  <c r="DQ46" i="1"/>
  <c r="DO46" i="1"/>
  <c r="DL46" i="1"/>
  <c r="DJ46" i="1"/>
  <c r="DG46" i="1"/>
  <c r="DE46" i="1"/>
  <c r="DB46" i="1"/>
  <c r="CZ46" i="1"/>
  <c r="CW46" i="1"/>
  <c r="CU46" i="1"/>
  <c r="CR46" i="1"/>
  <c r="CP46" i="1"/>
  <c r="CM46" i="1"/>
  <c r="CK46" i="1"/>
  <c r="CH46" i="1"/>
  <c r="EP46" i="1" s="1"/>
  <c r="CF46" i="1"/>
  <c r="EN46" i="1" s="1"/>
  <c r="P46" i="1"/>
  <c r="EM45" i="1"/>
  <c r="EL45" i="1"/>
  <c r="EI45" i="1"/>
  <c r="EH45" i="1"/>
  <c r="EG45" i="1"/>
  <c r="ED45" i="1"/>
  <c r="EC45" i="1"/>
  <c r="EB45" i="1"/>
  <c r="DY45" i="1"/>
  <c r="DX45" i="1"/>
  <c r="DW45" i="1"/>
  <c r="DT45" i="1"/>
  <c r="DS45" i="1"/>
  <c r="DR45" i="1"/>
  <c r="DO45" i="1"/>
  <c r="DN45" i="1"/>
  <c r="DM45" i="1"/>
  <c r="DJ45" i="1"/>
  <c r="DI45" i="1"/>
  <c r="DH45" i="1"/>
  <c r="DE45" i="1"/>
  <c r="DD45" i="1"/>
  <c r="DC45" i="1"/>
  <c r="CZ45" i="1"/>
  <c r="CY45" i="1"/>
  <c r="CX45" i="1"/>
  <c r="CU45" i="1"/>
  <c r="CT45" i="1"/>
  <c r="CS45" i="1"/>
  <c r="CP45" i="1"/>
  <c r="CO45" i="1"/>
  <c r="CN45" i="1"/>
  <c r="CK45" i="1"/>
  <c r="CJ45" i="1"/>
  <c r="CI45" i="1"/>
  <c r="CF45" i="1"/>
  <c r="EN45" i="1" s="1"/>
  <c r="P45" i="1"/>
  <c r="EL44" i="1"/>
  <c r="EI44" i="1"/>
  <c r="EG44" i="1"/>
  <c r="ED44" i="1"/>
  <c r="EB44" i="1"/>
  <c r="DY44" i="1"/>
  <c r="DW44" i="1"/>
  <c r="DT44" i="1"/>
  <c r="DR44" i="1"/>
  <c r="DO44" i="1"/>
  <c r="DM44" i="1"/>
  <c r="DJ44" i="1"/>
  <c r="DH44" i="1"/>
  <c r="DE44" i="1"/>
  <c r="DC44" i="1"/>
  <c r="CZ44" i="1"/>
  <c r="CX44" i="1"/>
  <c r="CU44" i="1"/>
  <c r="CS44" i="1"/>
  <c r="CP44" i="1"/>
  <c r="CN44" i="1"/>
  <c r="CK44" i="1"/>
  <c r="CI44" i="1"/>
  <c r="CF44" i="1"/>
  <c r="EN44" i="1" s="1"/>
  <c r="P44" i="1"/>
  <c r="EM43" i="1"/>
  <c r="EI43" i="1"/>
  <c r="EH43" i="1"/>
  <c r="ED43" i="1"/>
  <c r="EC43" i="1"/>
  <c r="DY43" i="1"/>
  <c r="DX43" i="1"/>
  <c r="DT43" i="1"/>
  <c r="DS43" i="1"/>
  <c r="DO43" i="1"/>
  <c r="DN43" i="1"/>
  <c r="DJ43" i="1"/>
  <c r="DI43" i="1"/>
  <c r="DE43" i="1"/>
  <c r="DD43" i="1"/>
  <c r="CZ43" i="1"/>
  <c r="CY43" i="1"/>
  <c r="CU43" i="1"/>
  <c r="CT43" i="1"/>
  <c r="CP43" i="1"/>
  <c r="CO43" i="1"/>
  <c r="CK43" i="1"/>
  <c r="CJ43" i="1"/>
  <c r="CF43" i="1"/>
  <c r="P43" i="1"/>
  <c r="EI42" i="1"/>
  <c r="ED42" i="1"/>
  <c r="DY42" i="1"/>
  <c r="DT42" i="1"/>
  <c r="DO42" i="1"/>
  <c r="DJ42" i="1"/>
  <c r="DE42" i="1"/>
  <c r="CZ42" i="1"/>
  <c r="CU42" i="1"/>
  <c r="CP42" i="1"/>
  <c r="CK42" i="1"/>
  <c r="CF42" i="1"/>
  <c r="EN42" i="1" s="1"/>
  <c r="P42" i="1"/>
  <c r="EM41" i="1"/>
  <c r="EL41" i="1"/>
  <c r="EK41" i="1"/>
  <c r="EJ41" i="1"/>
  <c r="EH41" i="1"/>
  <c r="EG41" i="1"/>
  <c r="EF41" i="1"/>
  <c r="EE41" i="1"/>
  <c r="EC41" i="1"/>
  <c r="EB41" i="1"/>
  <c r="EA41" i="1"/>
  <c r="DZ41" i="1"/>
  <c r="DX41" i="1"/>
  <c r="DW41" i="1"/>
  <c r="DV41" i="1"/>
  <c r="DU41" i="1"/>
  <c r="DS41" i="1"/>
  <c r="DR41" i="1"/>
  <c r="DQ41" i="1"/>
  <c r="DP41" i="1"/>
  <c r="DN41" i="1"/>
  <c r="DM41" i="1"/>
  <c r="DL41" i="1"/>
  <c r="DK41" i="1"/>
  <c r="DI41" i="1"/>
  <c r="DH41" i="1"/>
  <c r="DG41" i="1"/>
  <c r="DF41" i="1"/>
  <c r="DD41" i="1"/>
  <c r="DC41" i="1"/>
  <c r="DB41" i="1"/>
  <c r="DA41" i="1"/>
  <c r="CY41" i="1"/>
  <c r="CX41" i="1"/>
  <c r="CW41" i="1"/>
  <c r="CV41" i="1"/>
  <c r="CT41" i="1"/>
  <c r="CS41" i="1"/>
  <c r="CR41" i="1"/>
  <c r="CQ41" i="1"/>
  <c r="CO41" i="1"/>
  <c r="CN41" i="1"/>
  <c r="CM41" i="1"/>
  <c r="CL41" i="1"/>
  <c r="CJ41" i="1"/>
  <c r="ER41" i="1" s="1"/>
  <c r="CI41" i="1"/>
  <c r="EQ41" i="1" s="1"/>
  <c r="CH41" i="1"/>
  <c r="EP41" i="1" s="1"/>
  <c r="CG41" i="1"/>
  <c r="EO41" i="1" s="1"/>
  <c r="P41" i="1"/>
  <c r="EL40" i="1"/>
  <c r="EK40" i="1"/>
  <c r="EJ40" i="1"/>
  <c r="EG40" i="1"/>
  <c r="EF40" i="1"/>
  <c r="EE40" i="1"/>
  <c r="EB40" i="1"/>
  <c r="EA40" i="1"/>
  <c r="DZ40" i="1"/>
  <c r="DW40" i="1"/>
  <c r="DV40" i="1"/>
  <c r="DU40" i="1"/>
  <c r="DR40" i="1"/>
  <c r="DQ40" i="1"/>
  <c r="DP40" i="1"/>
  <c r="DM40" i="1"/>
  <c r="DL40" i="1"/>
  <c r="DK40" i="1"/>
  <c r="DH40" i="1"/>
  <c r="DG40" i="1"/>
  <c r="DF40" i="1"/>
  <c r="DC40" i="1"/>
  <c r="DB40" i="1"/>
  <c r="DA40" i="1"/>
  <c r="CX40" i="1"/>
  <c r="CW40" i="1"/>
  <c r="CV40" i="1"/>
  <c r="CS40" i="1"/>
  <c r="CR40" i="1"/>
  <c r="CQ40" i="1"/>
  <c r="CN40" i="1"/>
  <c r="CM40" i="1"/>
  <c r="CL40" i="1"/>
  <c r="CI40" i="1"/>
  <c r="EQ40" i="1" s="1"/>
  <c r="CH40" i="1"/>
  <c r="EP40" i="1" s="1"/>
  <c r="CG40" i="1"/>
  <c r="P40" i="1"/>
  <c r="EM39" i="1"/>
  <c r="EK39" i="1"/>
  <c r="EJ39" i="1"/>
  <c r="EH39" i="1"/>
  <c r="EF39" i="1"/>
  <c r="EE39" i="1"/>
  <c r="EC39" i="1"/>
  <c r="EA39" i="1"/>
  <c r="DZ39" i="1"/>
  <c r="DX39" i="1"/>
  <c r="DV39" i="1"/>
  <c r="DU39" i="1"/>
  <c r="DS39" i="1"/>
  <c r="DQ39" i="1"/>
  <c r="DP39" i="1"/>
  <c r="DN39" i="1"/>
  <c r="DL39" i="1"/>
  <c r="DK39" i="1"/>
  <c r="DI39" i="1"/>
  <c r="DG39" i="1"/>
  <c r="DF39" i="1"/>
  <c r="DD39" i="1"/>
  <c r="DB39" i="1"/>
  <c r="DA39" i="1"/>
  <c r="CY39" i="1"/>
  <c r="CW39" i="1"/>
  <c r="CV39" i="1"/>
  <c r="CT39" i="1"/>
  <c r="CR39" i="1"/>
  <c r="CQ39" i="1"/>
  <c r="CO39" i="1"/>
  <c r="CM39" i="1"/>
  <c r="CL39" i="1"/>
  <c r="CJ39" i="1"/>
  <c r="CH39" i="1"/>
  <c r="CG39" i="1"/>
  <c r="P39" i="1"/>
  <c r="EK38" i="1"/>
  <c r="EJ38" i="1"/>
  <c r="EF38" i="1"/>
  <c r="EE38" i="1"/>
  <c r="EA38" i="1"/>
  <c r="DZ38" i="1"/>
  <c r="DV38" i="1"/>
  <c r="DU38" i="1"/>
  <c r="DQ38" i="1"/>
  <c r="DP38" i="1"/>
  <c r="DL38" i="1"/>
  <c r="DK38" i="1"/>
  <c r="DG38" i="1"/>
  <c r="DF38" i="1"/>
  <c r="DB38" i="1"/>
  <c r="DA38" i="1"/>
  <c r="CW38" i="1"/>
  <c r="CV38" i="1"/>
  <c r="CR38" i="1"/>
  <c r="CQ38" i="1"/>
  <c r="CM38" i="1"/>
  <c r="CL38" i="1"/>
  <c r="CH38" i="1"/>
  <c r="EP38" i="1" s="1"/>
  <c r="CG38" i="1"/>
  <c r="EO38" i="1" s="1"/>
  <c r="P38" i="1"/>
  <c r="E38" i="1"/>
  <c r="A38" i="1"/>
  <c r="EM37" i="1"/>
  <c r="EL37" i="1"/>
  <c r="EJ37" i="1"/>
  <c r="EH37" i="1"/>
  <c r="EG37" i="1"/>
  <c r="EE37" i="1"/>
  <c r="EC37" i="1"/>
  <c r="EB37" i="1"/>
  <c r="DZ37" i="1"/>
  <c r="DX37" i="1"/>
  <c r="DW37" i="1"/>
  <c r="DU37" i="1"/>
  <c r="DS37" i="1"/>
  <c r="DR37" i="1"/>
  <c r="DP37" i="1"/>
  <c r="DN37" i="1"/>
  <c r="DM37" i="1"/>
  <c r="DK37" i="1"/>
  <c r="DI37" i="1"/>
  <c r="DH37" i="1"/>
  <c r="DF37" i="1"/>
  <c r="DD37" i="1"/>
  <c r="DC37" i="1"/>
  <c r="DA37" i="1"/>
  <c r="CY37" i="1"/>
  <c r="CX37" i="1"/>
  <c r="CV37" i="1"/>
  <c r="CT37" i="1"/>
  <c r="CS37" i="1"/>
  <c r="CQ37" i="1"/>
  <c r="CO37" i="1"/>
  <c r="CN37" i="1"/>
  <c r="CL37" i="1"/>
  <c r="CJ37" i="1"/>
  <c r="ER37" i="1" s="1"/>
  <c r="CI37" i="1"/>
  <c r="EQ37" i="1" s="1"/>
  <c r="CG37" i="1"/>
  <c r="P37" i="1"/>
  <c r="E37" i="1"/>
  <c r="A37" i="1"/>
  <c r="EL36" i="1"/>
  <c r="EJ36" i="1"/>
  <c r="EG36" i="1"/>
  <c r="EE36" i="1"/>
  <c r="EB36" i="1"/>
  <c r="DZ36" i="1"/>
  <c r="DW36" i="1"/>
  <c r="DU36" i="1"/>
  <c r="DR36" i="1"/>
  <c r="DP36" i="1"/>
  <c r="DM36" i="1"/>
  <c r="DK36" i="1"/>
  <c r="DH36" i="1"/>
  <c r="DF36" i="1"/>
  <c r="DC36" i="1"/>
  <c r="DA36" i="1"/>
  <c r="CX36" i="1"/>
  <c r="CV36" i="1"/>
  <c r="CS36" i="1"/>
  <c r="CQ36" i="1"/>
  <c r="CN36" i="1"/>
  <c r="CL36" i="1"/>
  <c r="CI36" i="1"/>
  <c r="EQ36" i="1" s="1"/>
  <c r="CG36" i="1"/>
  <c r="EO36" i="1" s="1"/>
  <c r="P36" i="1"/>
  <c r="E36" i="1"/>
  <c r="A36" i="1"/>
  <c r="EM35" i="1"/>
  <c r="EJ35" i="1"/>
  <c r="EH35" i="1"/>
  <c r="EE35" i="1"/>
  <c r="EC35" i="1"/>
  <c r="DZ35" i="1"/>
  <c r="DX35" i="1"/>
  <c r="DU35" i="1"/>
  <c r="DS35" i="1"/>
  <c r="DP35" i="1"/>
  <c r="DN35" i="1"/>
  <c r="DK35" i="1"/>
  <c r="DI35" i="1"/>
  <c r="DF35" i="1"/>
  <c r="DD35" i="1"/>
  <c r="DA35" i="1"/>
  <c r="CY35" i="1"/>
  <c r="CV35" i="1"/>
  <c r="CT35" i="1"/>
  <c r="CQ35" i="1"/>
  <c r="CO35" i="1"/>
  <c r="CL35" i="1"/>
  <c r="CJ35" i="1"/>
  <c r="CG35" i="1"/>
  <c r="P35" i="1"/>
  <c r="E35" i="1"/>
  <c r="A35" i="1"/>
  <c r="EJ34" i="1"/>
  <c r="EE34" i="1"/>
  <c r="DZ34" i="1"/>
  <c r="DU34" i="1"/>
  <c r="DP34" i="1"/>
  <c r="DK34" i="1"/>
  <c r="DF34" i="1"/>
  <c r="DA34" i="1"/>
  <c r="CV34" i="1"/>
  <c r="CQ34" i="1"/>
  <c r="CL34" i="1"/>
  <c r="CG34" i="1"/>
  <c r="EO34" i="1" s="1"/>
  <c r="P34" i="1"/>
  <c r="E34" i="1"/>
  <c r="A34" i="1"/>
  <c r="EM33" i="1"/>
  <c r="EL33" i="1"/>
  <c r="EK33" i="1"/>
  <c r="EH33" i="1"/>
  <c r="EG33" i="1"/>
  <c r="EF33" i="1"/>
  <c r="EC33" i="1"/>
  <c r="EB33" i="1"/>
  <c r="EA33" i="1"/>
  <c r="DX33" i="1"/>
  <c r="DW33" i="1"/>
  <c r="DV33" i="1"/>
  <c r="DS33" i="1"/>
  <c r="DR33" i="1"/>
  <c r="DQ33" i="1"/>
  <c r="DN33" i="1"/>
  <c r="DM33" i="1"/>
  <c r="DL33" i="1"/>
  <c r="DI33" i="1"/>
  <c r="DH33" i="1"/>
  <c r="DG33" i="1"/>
  <c r="DD33" i="1"/>
  <c r="DC33" i="1"/>
  <c r="DB33" i="1"/>
  <c r="CY33" i="1"/>
  <c r="CX33" i="1"/>
  <c r="CW33" i="1"/>
  <c r="CT33" i="1"/>
  <c r="CS33" i="1"/>
  <c r="CR33" i="1"/>
  <c r="CO33" i="1"/>
  <c r="CN33" i="1"/>
  <c r="CM33" i="1"/>
  <c r="CJ33" i="1"/>
  <c r="ER33" i="1" s="1"/>
  <c r="CI33" i="1"/>
  <c r="CH33" i="1"/>
  <c r="EP33" i="1" s="1"/>
  <c r="P33" i="1"/>
  <c r="E33" i="1"/>
  <c r="A33" i="1"/>
  <c r="EL32" i="1"/>
  <c r="EK32" i="1"/>
  <c r="EG32" i="1"/>
  <c r="EF32" i="1"/>
  <c r="EB32" i="1"/>
  <c r="EA32" i="1"/>
  <c r="DW32" i="1"/>
  <c r="DV32" i="1"/>
  <c r="DR32" i="1"/>
  <c r="DQ32" i="1"/>
  <c r="DM32" i="1"/>
  <c r="DL32" i="1"/>
  <c r="DH32" i="1"/>
  <c r="DG32" i="1"/>
  <c r="DC32" i="1"/>
  <c r="DB32" i="1"/>
  <c r="CX32" i="1"/>
  <c r="CW32" i="1"/>
  <c r="CS32" i="1"/>
  <c r="CR32" i="1"/>
  <c r="CN32" i="1"/>
  <c r="CM32" i="1"/>
  <c r="CI32" i="1"/>
  <c r="EQ32" i="1" s="1"/>
  <c r="CH32" i="1"/>
  <c r="EP32" i="1" s="1"/>
  <c r="P32" i="1"/>
  <c r="E32" i="1"/>
  <c r="A32" i="1"/>
  <c r="EM31" i="1"/>
  <c r="EK31" i="1"/>
  <c r="EH31" i="1"/>
  <c r="EF31" i="1"/>
  <c r="EC31" i="1"/>
  <c r="EA31" i="1"/>
  <c r="DX31" i="1"/>
  <c r="DV31" i="1"/>
  <c r="DS31" i="1"/>
  <c r="DQ31" i="1"/>
  <c r="DN31" i="1"/>
  <c r="DL31" i="1"/>
  <c r="DI31" i="1"/>
  <c r="DG31" i="1"/>
  <c r="DD31" i="1"/>
  <c r="DB31" i="1"/>
  <c r="CY31" i="1"/>
  <c r="CW31" i="1"/>
  <c r="CT31" i="1"/>
  <c r="CR31" i="1"/>
  <c r="CO31" i="1"/>
  <c r="CM31" i="1"/>
  <c r="CJ31" i="1"/>
  <c r="CH31" i="1"/>
  <c r="P31" i="1"/>
  <c r="E31" i="1"/>
  <c r="A31" i="1"/>
  <c r="EK30" i="1"/>
  <c r="EF30" i="1"/>
  <c r="EA30" i="1"/>
  <c r="DV30" i="1"/>
  <c r="DQ30" i="1"/>
  <c r="DL30" i="1"/>
  <c r="DG30" i="1"/>
  <c r="DB30" i="1"/>
  <c r="CW30" i="1"/>
  <c r="CR30" i="1"/>
  <c r="CM30" i="1"/>
  <c r="CH30" i="1"/>
  <c r="EP30" i="1" s="1"/>
  <c r="P30" i="1"/>
  <c r="E30" i="1"/>
  <c r="A30" i="1"/>
  <c r="EM29" i="1"/>
  <c r="EL29" i="1"/>
  <c r="EH29" i="1"/>
  <c r="EG29" i="1"/>
  <c r="EC29" i="1"/>
  <c r="EB29" i="1"/>
  <c r="DX29" i="1"/>
  <c r="DW29" i="1"/>
  <c r="DS29" i="1"/>
  <c r="DR29" i="1"/>
  <c r="DN29" i="1"/>
  <c r="DM29" i="1"/>
  <c r="DI29" i="1"/>
  <c r="DH29" i="1"/>
  <c r="DD29" i="1"/>
  <c r="DC29" i="1"/>
  <c r="CY29" i="1"/>
  <c r="CX29" i="1"/>
  <c r="CT29" i="1"/>
  <c r="CS29" i="1"/>
  <c r="CO29" i="1"/>
  <c r="CN29" i="1"/>
  <c r="CJ29" i="1"/>
  <c r="ER29" i="1" s="1"/>
  <c r="CI29" i="1"/>
  <c r="EQ29" i="1" s="1"/>
  <c r="P29" i="1"/>
  <c r="E29" i="1"/>
  <c r="A29" i="1"/>
  <c r="EL28" i="1"/>
  <c r="EG28" i="1"/>
  <c r="EB28" i="1"/>
  <c r="DW28" i="1"/>
  <c r="DR28" i="1"/>
  <c r="DM28" i="1"/>
  <c r="DH28" i="1"/>
  <c r="DC28" i="1"/>
  <c r="CX28" i="1"/>
  <c r="CS28" i="1"/>
  <c r="CN28" i="1"/>
  <c r="CI28" i="1"/>
  <c r="EQ28" i="1" s="1"/>
  <c r="P28" i="1"/>
  <c r="E28" i="1"/>
  <c r="A28" i="1"/>
  <c r="EM27" i="1"/>
  <c r="EH27" i="1"/>
  <c r="EC27" i="1"/>
  <c r="DX27" i="1"/>
  <c r="DS27" i="1"/>
  <c r="DN27" i="1"/>
  <c r="DI27" i="1"/>
  <c r="DD27" i="1"/>
  <c r="CY27" i="1"/>
  <c r="CT27" i="1"/>
  <c r="CO27" i="1"/>
  <c r="CJ27" i="1"/>
  <c r="P27" i="1"/>
  <c r="I27" i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P26" i="1"/>
  <c r="K15" i="1"/>
  <c r="K14" i="1"/>
  <c r="K13" i="1"/>
  <c r="K12" i="1"/>
  <c r="E12" i="1"/>
  <c r="K11" i="1"/>
  <c r="E11" i="1"/>
  <c r="K10" i="1"/>
  <c r="E10" i="1"/>
  <c r="K9" i="1"/>
  <c r="K8" i="1"/>
  <c r="K7" i="1"/>
  <c r="K6" i="1"/>
  <c r="K5" i="1"/>
  <c r="K4" i="1"/>
  <c r="EO54" i="1" l="1"/>
  <c r="EN54" i="1"/>
  <c r="EP47" i="1"/>
  <c r="EN47" i="1"/>
  <c r="ER43" i="1"/>
  <c r="EN43" i="1"/>
  <c r="ER39" i="1"/>
  <c r="EP39" i="1"/>
  <c r="EO39" i="1"/>
  <c r="ER35" i="1"/>
  <c r="EO35" i="1"/>
  <c r="ER31" i="1"/>
  <c r="EP31" i="1"/>
  <c r="C60" i="2"/>
  <c r="C75" i="2"/>
  <c r="EO51" i="1"/>
  <c r="K22" i="1"/>
  <c r="L22" i="1"/>
  <c r="M22" i="1"/>
  <c r="N22" i="1"/>
  <c r="J22" i="1"/>
  <c r="EQ56" i="1"/>
  <c r="EP56" i="1"/>
  <c r="EO56" i="1"/>
  <c r="EN56" i="1"/>
  <c r="ER53" i="1"/>
  <c r="EQ53" i="1"/>
  <c r="EO53" i="1"/>
  <c r="EN53" i="1"/>
  <c r="ER49" i="1"/>
  <c r="EO40" i="1"/>
  <c r="EQ33" i="1"/>
  <c r="ER45" i="1"/>
  <c r="EQ45" i="1"/>
  <c r="ER47" i="1"/>
  <c r="EQ44" i="1"/>
  <c r="EO37" i="1"/>
  <c r="ER27" i="1"/>
  <c r="P39" i="2"/>
  <c r="M37" i="2"/>
  <c r="P40" i="2"/>
  <c r="M35" i="2"/>
  <c r="I50" i="2" a="1"/>
  <c r="B33" i="2" a="1"/>
  <c r="B50" i="2" a="1"/>
  <c r="I33" i="2" a="1"/>
  <c r="R57" i="1"/>
  <c r="Q57" i="1" s="1"/>
  <c r="BC57" i="1"/>
  <c r="V57" i="1" s="1"/>
  <c r="BD57" i="1"/>
  <c r="W57" i="1" s="1"/>
  <c r="BF57" i="1"/>
  <c r="Y57" i="1" s="1"/>
  <c r="BG57" i="1"/>
  <c r="Z57" i="1" s="1"/>
  <c r="BI57" i="1"/>
  <c r="AB57" i="1" s="1"/>
  <c r="BJ57" i="1"/>
  <c r="AC57" i="1" s="1"/>
  <c r="BL57" i="1"/>
  <c r="AE57" i="1" s="1"/>
  <c r="BM57" i="1"/>
  <c r="AF57" i="1" s="1"/>
  <c r="BO57" i="1"/>
  <c r="AH57" i="1" s="1"/>
  <c r="BP57" i="1"/>
  <c r="AI57" i="1" s="1"/>
  <c r="BR57" i="1"/>
  <c r="AK57" i="1" s="1"/>
  <c r="BS57" i="1"/>
  <c r="AL57" i="1" s="1"/>
  <c r="BU57" i="1"/>
  <c r="AN57" i="1" s="1"/>
  <c r="BV57" i="1"/>
  <c r="AO57" i="1" s="1"/>
  <c r="BX57" i="1"/>
  <c r="AQ57" i="1" s="1"/>
  <c r="BY57" i="1"/>
  <c r="AR57" i="1" s="1"/>
  <c r="CA57" i="1"/>
  <c r="AT57" i="1" s="1"/>
  <c r="CB57" i="1"/>
  <c r="AU57" i="1" s="1"/>
  <c r="CD57" i="1"/>
  <c r="AW57" i="1" s="1"/>
  <c r="CE57" i="1"/>
  <c r="AX57" i="1" s="1"/>
  <c r="BE57" i="1"/>
  <c r="X57" i="1" s="1"/>
  <c r="BK57" i="1"/>
  <c r="AD57" i="1" s="1"/>
  <c r="BQ57" i="1"/>
  <c r="AJ57" i="1" s="1"/>
  <c r="BT57" i="1"/>
  <c r="AM57" i="1" s="1"/>
  <c r="BW57" i="1"/>
  <c r="AP57" i="1" s="1"/>
  <c r="BZ57" i="1"/>
  <c r="AS57" i="1" s="1"/>
  <c r="CC57" i="1"/>
  <c r="AV57" i="1" s="1"/>
  <c r="BA57" i="1"/>
  <c r="T57" i="1" s="1"/>
  <c r="BH57" i="1"/>
  <c r="AA57" i="1" s="1"/>
  <c r="AZ57" i="1"/>
  <c r="S57" i="1" s="1"/>
  <c r="N60" i="1"/>
  <c r="M60" i="1"/>
  <c r="L60" i="1"/>
  <c r="K60" i="1"/>
  <c r="J60" i="1"/>
  <c r="AA18" i="1"/>
  <c r="Z18" i="1"/>
  <c r="Y18" i="1"/>
  <c r="X18" i="1"/>
  <c r="K61" i="1" s="1"/>
  <c r="W18" i="1"/>
  <c r="F42" i="1" l="1"/>
  <c r="J61" i="1"/>
  <c r="C35" i="2"/>
  <c r="C67" i="2" s="1"/>
  <c r="D33" i="2"/>
  <c r="C29" i="2"/>
  <c r="C33" i="2"/>
  <c r="E33" i="2"/>
  <c r="C41" i="2"/>
  <c r="C73" i="2" s="1"/>
  <c r="M4" i="2"/>
  <c r="C36" i="2"/>
  <c r="C68" i="2" s="1"/>
  <c r="C38" i="2"/>
  <c r="C70" i="2" s="1"/>
  <c r="M5" i="2"/>
  <c r="C42" i="2"/>
  <c r="C74" i="2" s="1"/>
  <c r="C40" i="2"/>
  <c r="C72" i="2" s="1"/>
  <c r="C39" i="2"/>
  <c r="C71" i="2" s="1"/>
  <c r="C37" i="2"/>
  <c r="C69" i="2" s="1"/>
  <c r="M3" i="2"/>
  <c r="F29" i="2"/>
  <c r="E43" i="2" s="1"/>
  <c r="G29" i="2"/>
  <c r="D43" i="2" s="1"/>
  <c r="D29" i="2"/>
  <c r="E29" i="2"/>
  <c r="N61" i="1"/>
  <c r="L61" i="1"/>
  <c r="M61" i="1"/>
  <c r="EM54" i="1"/>
  <c r="EM56" i="1"/>
  <c r="EM28" i="1"/>
  <c r="EM30" i="1"/>
  <c r="EM34" i="1"/>
  <c r="EM36" i="1"/>
  <c r="EM38" i="1"/>
  <c r="EM26" i="1"/>
  <c r="EM32" i="1"/>
  <c r="EM42" i="1"/>
  <c r="EM44" i="1"/>
  <c r="EM40" i="1"/>
  <c r="EM46" i="1"/>
  <c r="EM48" i="1"/>
  <c r="EM50" i="1"/>
  <c r="EM52" i="1"/>
  <c r="E42" i="1"/>
  <c r="D42" i="1"/>
  <c r="C42" i="1"/>
  <c r="B42" i="1"/>
  <c r="E60" i="2" l="1"/>
  <c r="E75" i="2"/>
  <c r="D60" i="2"/>
  <c r="D75" i="2"/>
  <c r="CJ32" i="1"/>
  <c r="CJ34" i="1"/>
  <c r="CJ42" i="1"/>
  <c r="CJ26" i="1"/>
  <c r="CJ44" i="1"/>
  <c r="CJ46" i="1"/>
  <c r="CJ48" i="1"/>
  <c r="CJ50" i="1"/>
  <c r="CJ52" i="1"/>
  <c r="CJ54" i="1"/>
  <c r="F56" i="1"/>
  <c r="CJ56" i="1"/>
  <c r="CJ40" i="1"/>
  <c r="CJ28" i="1"/>
  <c r="CJ36" i="1"/>
  <c r="CJ30" i="1"/>
  <c r="CJ38" i="1"/>
  <c r="C52" i="2"/>
  <c r="D50" i="2"/>
  <c r="J4" i="2"/>
  <c r="J10" i="2"/>
  <c r="J11" i="2" s="1"/>
  <c r="C50" i="2"/>
  <c r="E50" i="2"/>
  <c r="L50" i="2" s="1"/>
  <c r="C58" i="2"/>
  <c r="J58" i="2" s="1"/>
  <c r="C53" i="2"/>
  <c r="C55" i="2"/>
  <c r="C59" i="2"/>
  <c r="J59" i="2" s="1"/>
  <c r="C57" i="2"/>
  <c r="J57" i="2" s="1"/>
  <c r="C56" i="2"/>
  <c r="C54" i="2"/>
  <c r="C51" i="2"/>
  <c r="E40" i="2"/>
  <c r="E72" i="2" s="1"/>
  <c r="E35" i="2"/>
  <c r="E67" i="2" s="1"/>
  <c r="E41" i="2"/>
  <c r="E73" i="2" s="1"/>
  <c r="E34" i="2"/>
  <c r="E66" i="2" s="1"/>
  <c r="E36" i="2"/>
  <c r="E68" i="2" s="1"/>
  <c r="E38" i="2"/>
  <c r="E70" i="2" s="1"/>
  <c r="E37" i="2"/>
  <c r="E69" i="2" s="1"/>
  <c r="E42" i="2"/>
  <c r="E74" i="2" s="1"/>
  <c r="E39" i="2"/>
  <c r="E71" i="2" s="1"/>
  <c r="D35" i="2"/>
  <c r="D67" i="2" s="1"/>
  <c r="D38" i="2"/>
  <c r="D70" i="2" s="1"/>
  <c r="D37" i="2"/>
  <c r="D69" i="2" s="1"/>
  <c r="D36" i="2"/>
  <c r="D68" i="2" s="1"/>
  <c r="D40" i="2"/>
  <c r="D72" i="2" s="1"/>
  <c r="D39" i="2"/>
  <c r="D71" i="2" s="1"/>
  <c r="D42" i="2"/>
  <c r="D41" i="2"/>
  <c r="D73" i="2" s="1"/>
  <c r="D34" i="2"/>
  <c r="D66" i="2" s="1"/>
  <c r="CO42" i="1"/>
  <c r="CO36" i="1"/>
  <c r="CO34" i="1"/>
  <c r="CO30" i="1"/>
  <c r="CO26" i="1"/>
  <c r="CO40" i="1"/>
  <c r="CO28" i="1"/>
  <c r="CO32" i="1"/>
  <c r="CO38" i="1"/>
  <c r="CO56" i="1"/>
  <c r="BB56" i="1" s="1"/>
  <c r="U56" i="1" s="1"/>
  <c r="CO54" i="1"/>
  <c r="CO52" i="1"/>
  <c r="CO50" i="1"/>
  <c r="CO48" i="1"/>
  <c r="CO46" i="1"/>
  <c r="CO44" i="1"/>
  <c r="CT34" i="1"/>
  <c r="CT30" i="1"/>
  <c r="CT26" i="1"/>
  <c r="CT36" i="1"/>
  <c r="CT28" i="1"/>
  <c r="CT40" i="1"/>
  <c r="CT32" i="1"/>
  <c r="CT38" i="1"/>
  <c r="CT56" i="1"/>
  <c r="BE56" i="1" s="1"/>
  <c r="X56" i="1" s="1"/>
  <c r="CT54" i="1"/>
  <c r="CT52" i="1"/>
  <c r="CT50" i="1"/>
  <c r="CT48" i="1"/>
  <c r="CT46" i="1"/>
  <c r="CT42" i="1"/>
  <c r="CT44" i="1"/>
  <c r="CY44" i="1"/>
  <c r="CY42" i="1"/>
  <c r="CY34" i="1"/>
  <c r="CY28" i="1"/>
  <c r="CY38" i="1"/>
  <c r="CY32" i="1"/>
  <c r="CY30" i="1"/>
  <c r="CY26" i="1"/>
  <c r="CY40" i="1"/>
  <c r="CY36" i="1"/>
  <c r="CY56" i="1"/>
  <c r="CY54" i="1"/>
  <c r="CY52" i="1"/>
  <c r="CY50" i="1"/>
  <c r="CY48" i="1"/>
  <c r="CY46" i="1"/>
  <c r="DD44" i="1"/>
  <c r="DD42" i="1"/>
  <c r="DD38" i="1"/>
  <c r="DD28" i="1"/>
  <c r="DD26" i="1"/>
  <c r="DD40" i="1"/>
  <c r="DD34" i="1"/>
  <c r="DD32" i="1"/>
  <c r="DD30" i="1"/>
  <c r="DD56" i="1"/>
  <c r="DD54" i="1"/>
  <c r="DD52" i="1"/>
  <c r="DD50" i="1"/>
  <c r="DD48" i="1"/>
  <c r="DD46" i="1"/>
  <c r="DD36" i="1"/>
  <c r="DI46" i="1"/>
  <c r="DI44" i="1"/>
  <c r="DI42" i="1"/>
  <c r="DI40" i="1"/>
  <c r="DI38" i="1"/>
  <c r="DI36" i="1"/>
  <c r="DI34" i="1"/>
  <c r="DI30" i="1"/>
  <c r="DI32" i="1"/>
  <c r="DI26" i="1"/>
  <c r="DI28" i="1"/>
  <c r="DI56" i="1"/>
  <c r="BN56" i="1" s="1"/>
  <c r="AG56" i="1" s="1"/>
  <c r="DI54" i="1"/>
  <c r="DI52" i="1"/>
  <c r="DI50" i="1"/>
  <c r="DI48" i="1"/>
  <c r="DN46" i="1"/>
  <c r="DN42" i="1"/>
  <c r="DN44" i="1"/>
  <c r="DN36" i="1"/>
  <c r="DN34" i="1"/>
  <c r="DN30" i="1"/>
  <c r="DN28" i="1"/>
  <c r="DN38" i="1"/>
  <c r="DN32" i="1"/>
  <c r="DN26" i="1"/>
  <c r="DN40" i="1"/>
  <c r="DN56" i="1"/>
  <c r="DN54" i="1"/>
  <c r="DN52" i="1"/>
  <c r="DN50" i="1"/>
  <c r="DN48" i="1"/>
  <c r="DS48" i="1"/>
  <c r="DS46" i="1"/>
  <c r="DS44" i="1"/>
  <c r="DS42" i="1"/>
  <c r="DS26" i="1"/>
  <c r="DS40" i="1"/>
  <c r="DS30" i="1"/>
  <c r="DS38" i="1"/>
  <c r="DS36" i="1"/>
  <c r="DS34" i="1"/>
  <c r="DS32" i="1"/>
  <c r="DS28" i="1"/>
  <c r="DS56" i="1"/>
  <c r="DS54" i="1"/>
  <c r="DS52" i="1"/>
  <c r="DS50" i="1"/>
  <c r="DX48" i="1"/>
  <c r="DX46" i="1"/>
  <c r="DX44" i="1"/>
  <c r="DX42" i="1"/>
  <c r="DX36" i="1"/>
  <c r="DX30" i="1"/>
  <c r="DX28" i="1"/>
  <c r="DX40" i="1"/>
  <c r="DX34" i="1"/>
  <c r="DX38" i="1"/>
  <c r="DX32" i="1"/>
  <c r="DX26" i="1"/>
  <c r="DX56" i="1"/>
  <c r="DX54" i="1"/>
  <c r="DX52" i="1"/>
  <c r="DX50" i="1"/>
  <c r="EC50" i="1"/>
  <c r="EC48" i="1"/>
  <c r="EC46" i="1"/>
  <c r="EC44" i="1"/>
  <c r="EC42" i="1"/>
  <c r="EC36" i="1"/>
  <c r="EC30" i="1"/>
  <c r="EC34" i="1"/>
  <c r="EC40" i="1"/>
  <c r="EC38" i="1"/>
  <c r="EC28" i="1"/>
  <c r="EC26" i="1"/>
  <c r="EC32" i="1"/>
  <c r="EC56" i="1"/>
  <c r="EC54" i="1"/>
  <c r="EC52" i="1"/>
  <c r="EH50" i="1"/>
  <c r="EH48" i="1"/>
  <c r="EH46" i="1"/>
  <c r="EH44" i="1"/>
  <c r="EH42" i="1"/>
  <c r="EH36" i="1"/>
  <c r="EH26" i="1"/>
  <c r="EH40" i="1"/>
  <c r="EH34" i="1"/>
  <c r="EH32" i="1"/>
  <c r="EH38" i="1"/>
  <c r="EH28" i="1"/>
  <c r="EH30" i="1"/>
  <c r="EH56" i="1"/>
  <c r="EH54" i="1"/>
  <c r="EH52" i="1"/>
  <c r="N23" i="1"/>
  <c r="CN39" i="1"/>
  <c r="CN35" i="1"/>
  <c r="CN34" i="1"/>
  <c r="CN31" i="1"/>
  <c r="CN27" i="1"/>
  <c r="CN38" i="1"/>
  <c r="CN30" i="1"/>
  <c r="CN26" i="1"/>
  <c r="CN55" i="1"/>
  <c r="CN54" i="1"/>
  <c r="CN51" i="1"/>
  <c r="CN50" i="1"/>
  <c r="CN47" i="1"/>
  <c r="CN46" i="1"/>
  <c r="CN42" i="1"/>
  <c r="CN43" i="1"/>
  <c r="CS43" i="1"/>
  <c r="CS42" i="1"/>
  <c r="CS38" i="1"/>
  <c r="CS27" i="1"/>
  <c r="CS34" i="1"/>
  <c r="CS30" i="1"/>
  <c r="CS39" i="1"/>
  <c r="CS26" i="1"/>
  <c r="CS31" i="1"/>
  <c r="CS35" i="1"/>
  <c r="CS55" i="1"/>
  <c r="CS54" i="1"/>
  <c r="CS51" i="1"/>
  <c r="CS50" i="1"/>
  <c r="CS47" i="1"/>
  <c r="CS46" i="1"/>
  <c r="CX42" i="1"/>
  <c r="CX35" i="1"/>
  <c r="CX26" i="1"/>
  <c r="CX34" i="1"/>
  <c r="CX31" i="1"/>
  <c r="CX38" i="1"/>
  <c r="CX30" i="1"/>
  <c r="CX27" i="1"/>
  <c r="CX39" i="1"/>
  <c r="CX55" i="1"/>
  <c r="CX54" i="1"/>
  <c r="CX51" i="1"/>
  <c r="CX50" i="1"/>
  <c r="CX47" i="1"/>
  <c r="CX46" i="1"/>
  <c r="CX43" i="1"/>
  <c r="DC42" i="1"/>
  <c r="DC30" i="1"/>
  <c r="DC43" i="1"/>
  <c r="DC35" i="1"/>
  <c r="DC27" i="1"/>
  <c r="DC38" i="1"/>
  <c r="DC34" i="1"/>
  <c r="DC31" i="1"/>
  <c r="DC26" i="1"/>
  <c r="DC39" i="1"/>
  <c r="DC55" i="1"/>
  <c r="DC54" i="1"/>
  <c r="DC51" i="1"/>
  <c r="DC50" i="1"/>
  <c r="DC47" i="1"/>
  <c r="DC46" i="1"/>
  <c r="DH46" i="1"/>
  <c r="DH27" i="1"/>
  <c r="DH43" i="1"/>
  <c r="DH42" i="1"/>
  <c r="DH26" i="1"/>
  <c r="DH31" i="1"/>
  <c r="DH34" i="1"/>
  <c r="DH30" i="1"/>
  <c r="DH39" i="1"/>
  <c r="DH38" i="1"/>
  <c r="DH35" i="1"/>
  <c r="DH55" i="1"/>
  <c r="BN55" i="1" s="1"/>
  <c r="DH54" i="1"/>
  <c r="BN54" i="1" s="1"/>
  <c r="DH51" i="1"/>
  <c r="DH50" i="1"/>
  <c r="DH47" i="1"/>
  <c r="DM47" i="1"/>
  <c r="DM46" i="1"/>
  <c r="DM43" i="1"/>
  <c r="DM42" i="1"/>
  <c r="DM35" i="1"/>
  <c r="DM27" i="1"/>
  <c r="DM39" i="1"/>
  <c r="DM30" i="1"/>
  <c r="DM26" i="1"/>
  <c r="DM31" i="1"/>
  <c r="DM38" i="1"/>
  <c r="DM34" i="1"/>
  <c r="DM55" i="1"/>
  <c r="DM54" i="1"/>
  <c r="DM51" i="1"/>
  <c r="DM50" i="1"/>
  <c r="DR47" i="1"/>
  <c r="DR46" i="1"/>
  <c r="DR43" i="1"/>
  <c r="DR42" i="1"/>
  <c r="DR38" i="1"/>
  <c r="DR30" i="1"/>
  <c r="DR27" i="1"/>
  <c r="DR39" i="1"/>
  <c r="DR31" i="1"/>
  <c r="DR26" i="1"/>
  <c r="DR35" i="1"/>
  <c r="DR34" i="1"/>
  <c r="DR55" i="1"/>
  <c r="DR54" i="1"/>
  <c r="DR51" i="1"/>
  <c r="DR50" i="1"/>
  <c r="DW47" i="1"/>
  <c r="DW46" i="1"/>
  <c r="DW43" i="1"/>
  <c r="DW42" i="1"/>
  <c r="DW35" i="1"/>
  <c r="DW34" i="1"/>
  <c r="DW26" i="1"/>
  <c r="DW39" i="1"/>
  <c r="DW38" i="1"/>
  <c r="DW31" i="1"/>
  <c r="DW30" i="1"/>
  <c r="DW27" i="1"/>
  <c r="DW55" i="1"/>
  <c r="DW54" i="1"/>
  <c r="DW51" i="1"/>
  <c r="DW50" i="1"/>
  <c r="EB50" i="1"/>
  <c r="EB47" i="1"/>
  <c r="EB46" i="1"/>
  <c r="EB43" i="1"/>
  <c r="EB42" i="1"/>
  <c r="EB35" i="1"/>
  <c r="EB34" i="1"/>
  <c r="EB26" i="1"/>
  <c r="EB39" i="1"/>
  <c r="EB38" i="1"/>
  <c r="EB31" i="1"/>
  <c r="EB30" i="1"/>
  <c r="EB27" i="1"/>
  <c r="EB55" i="1"/>
  <c r="EB54" i="1"/>
  <c r="EB51" i="1"/>
  <c r="EG51" i="1"/>
  <c r="EG50" i="1"/>
  <c r="EG47" i="1"/>
  <c r="EG46" i="1"/>
  <c r="EG42" i="1"/>
  <c r="EG26" i="1"/>
  <c r="EG43" i="1"/>
  <c r="EG34" i="1"/>
  <c r="EG30" i="1"/>
  <c r="EG39" i="1"/>
  <c r="EG38" i="1"/>
  <c r="EG31" i="1"/>
  <c r="EG27" i="1"/>
  <c r="EG35" i="1"/>
  <c r="EG55" i="1"/>
  <c r="EG54" i="1"/>
  <c r="M23" i="1"/>
  <c r="CM43" i="1"/>
  <c r="CM42" i="1"/>
  <c r="CM35" i="1"/>
  <c r="CM37" i="1"/>
  <c r="CM36" i="1"/>
  <c r="CM34" i="1"/>
  <c r="CM26" i="1"/>
  <c r="CM28" i="1"/>
  <c r="CM27" i="1"/>
  <c r="CM29" i="1"/>
  <c r="CM53" i="1"/>
  <c r="CM52" i="1"/>
  <c r="CM51" i="1"/>
  <c r="CM50" i="1"/>
  <c r="CM45" i="1"/>
  <c r="CM44" i="1"/>
  <c r="CR43" i="1"/>
  <c r="CR42" i="1"/>
  <c r="CR36" i="1"/>
  <c r="CR34" i="1"/>
  <c r="CR29" i="1"/>
  <c r="CR37" i="1"/>
  <c r="CR28" i="1"/>
  <c r="CR26" i="1"/>
  <c r="CR35" i="1"/>
  <c r="CR27" i="1"/>
  <c r="CR53" i="1"/>
  <c r="CR52" i="1"/>
  <c r="CR51" i="1"/>
  <c r="CR50" i="1"/>
  <c r="CR45" i="1"/>
  <c r="CR44" i="1"/>
  <c r="CW43" i="1"/>
  <c r="CW36" i="1"/>
  <c r="CW34" i="1"/>
  <c r="CW37" i="1"/>
  <c r="CW35" i="1"/>
  <c r="CW27" i="1"/>
  <c r="CW26" i="1"/>
  <c r="CW28" i="1"/>
  <c r="CW53" i="1"/>
  <c r="CW52" i="1"/>
  <c r="CW51" i="1"/>
  <c r="CW50" i="1"/>
  <c r="CW44" i="1"/>
  <c r="CW42" i="1"/>
  <c r="CW29" i="1"/>
  <c r="CW45" i="1"/>
  <c r="DB43" i="1"/>
  <c r="DB45" i="1"/>
  <c r="DB44" i="1"/>
  <c r="DB42" i="1"/>
  <c r="DB28" i="1"/>
  <c r="DB26" i="1"/>
  <c r="DB37" i="1"/>
  <c r="DB36" i="1"/>
  <c r="DB34" i="1"/>
  <c r="DB29" i="1"/>
  <c r="DB35" i="1"/>
  <c r="DB27" i="1"/>
  <c r="DB53" i="1"/>
  <c r="DB52" i="1"/>
  <c r="DB51" i="1"/>
  <c r="DB50" i="1"/>
  <c r="DG45" i="1"/>
  <c r="DG44" i="1"/>
  <c r="DG43" i="1"/>
  <c r="DG42" i="1"/>
  <c r="DG37" i="1"/>
  <c r="DG35" i="1"/>
  <c r="DG36" i="1"/>
  <c r="DG34" i="1"/>
  <c r="DG29" i="1"/>
  <c r="DG26" i="1"/>
  <c r="DG28" i="1"/>
  <c r="DG27" i="1"/>
  <c r="DG53" i="1"/>
  <c r="BN53" i="1" s="1"/>
  <c r="DG52" i="1"/>
  <c r="BN52" i="1" s="1"/>
  <c r="DG51" i="1"/>
  <c r="BN51" i="1" s="1"/>
  <c r="DG50" i="1"/>
  <c r="BN50" i="1" s="1"/>
  <c r="DL45" i="1"/>
  <c r="DL37" i="1"/>
  <c r="DL36" i="1"/>
  <c r="DL28" i="1"/>
  <c r="DL44" i="1"/>
  <c r="DL43" i="1"/>
  <c r="DL42" i="1"/>
  <c r="DL34" i="1"/>
  <c r="DL29" i="1"/>
  <c r="DL26" i="1"/>
  <c r="DL35" i="1"/>
  <c r="DL27" i="1"/>
  <c r="DL53" i="1"/>
  <c r="DL52" i="1"/>
  <c r="DL51" i="1"/>
  <c r="DL50" i="1"/>
  <c r="DQ45" i="1"/>
  <c r="DQ43" i="1"/>
  <c r="DQ42" i="1"/>
  <c r="DQ44" i="1"/>
  <c r="DQ26" i="1"/>
  <c r="DQ36" i="1"/>
  <c r="DQ28" i="1"/>
  <c r="DQ37" i="1"/>
  <c r="DQ35" i="1"/>
  <c r="DQ34" i="1"/>
  <c r="DQ27" i="1"/>
  <c r="DQ29" i="1"/>
  <c r="DQ53" i="1"/>
  <c r="DQ52" i="1"/>
  <c r="DQ51" i="1"/>
  <c r="DQ50" i="1"/>
  <c r="DV42" i="1"/>
  <c r="DV45" i="1"/>
  <c r="DV44" i="1"/>
  <c r="DV43" i="1"/>
  <c r="DV37" i="1"/>
  <c r="DV28" i="1"/>
  <c r="DV35" i="1"/>
  <c r="DV34" i="1"/>
  <c r="DV27" i="1"/>
  <c r="DV36" i="1"/>
  <c r="DV26" i="1"/>
  <c r="DV29" i="1"/>
  <c r="DV53" i="1"/>
  <c r="DV52" i="1"/>
  <c r="DV51" i="1"/>
  <c r="DV50" i="1"/>
  <c r="EA50" i="1"/>
  <c r="EA45" i="1"/>
  <c r="EA42" i="1"/>
  <c r="EA44" i="1"/>
  <c r="EA43" i="1"/>
  <c r="EA37" i="1"/>
  <c r="EA36" i="1"/>
  <c r="EA27" i="1"/>
  <c r="EA35" i="1"/>
  <c r="EA28" i="1"/>
  <c r="EA34" i="1"/>
  <c r="EA29" i="1"/>
  <c r="EA26" i="1"/>
  <c r="EA53" i="1"/>
  <c r="EA52" i="1"/>
  <c r="EA51" i="1"/>
  <c r="EF51" i="1"/>
  <c r="EF50" i="1"/>
  <c r="EF45" i="1"/>
  <c r="EF44" i="1"/>
  <c r="EF43" i="1"/>
  <c r="EF42" i="1"/>
  <c r="EF36" i="1"/>
  <c r="EF28" i="1"/>
  <c r="EF34" i="1"/>
  <c r="EF26" i="1"/>
  <c r="EF37" i="1"/>
  <c r="EF29" i="1"/>
  <c r="EF27" i="1"/>
  <c r="EF35" i="1"/>
  <c r="EF53" i="1"/>
  <c r="EF52" i="1"/>
  <c r="L23" i="1"/>
  <c r="CL42" i="1"/>
  <c r="CL31" i="1"/>
  <c r="CL28" i="1"/>
  <c r="CL33" i="1"/>
  <c r="CL32" i="1"/>
  <c r="CL29" i="1"/>
  <c r="CL27" i="1"/>
  <c r="CL30" i="1"/>
  <c r="CL26" i="1"/>
  <c r="CL49" i="1"/>
  <c r="CL48" i="1"/>
  <c r="CL47" i="1"/>
  <c r="CL46" i="1"/>
  <c r="CL43" i="1"/>
  <c r="CL45" i="1"/>
  <c r="CL44" i="1"/>
  <c r="CQ45" i="1"/>
  <c r="CQ44" i="1"/>
  <c r="CQ43" i="1"/>
  <c r="CQ42" i="1"/>
  <c r="CQ32" i="1"/>
  <c r="CQ28" i="1"/>
  <c r="CQ31" i="1"/>
  <c r="CQ30" i="1"/>
  <c r="CQ27" i="1"/>
  <c r="CQ33" i="1"/>
  <c r="CQ26" i="1"/>
  <c r="CQ29" i="1"/>
  <c r="CQ49" i="1"/>
  <c r="CQ48" i="1"/>
  <c r="CQ47" i="1"/>
  <c r="CQ46" i="1"/>
  <c r="CV44" i="1"/>
  <c r="CV43" i="1"/>
  <c r="CV42" i="1"/>
  <c r="CV29" i="1"/>
  <c r="CV26" i="1"/>
  <c r="CV31" i="1"/>
  <c r="CV30" i="1"/>
  <c r="CV28" i="1"/>
  <c r="CV27" i="1"/>
  <c r="CV33" i="1"/>
  <c r="CV32" i="1"/>
  <c r="CV49" i="1"/>
  <c r="CV48" i="1"/>
  <c r="CV47" i="1"/>
  <c r="CV46" i="1"/>
  <c r="CV45" i="1"/>
  <c r="DA45" i="1"/>
  <c r="DA43" i="1"/>
  <c r="DA42" i="1"/>
  <c r="DA33" i="1"/>
  <c r="DA32" i="1"/>
  <c r="DA31" i="1"/>
  <c r="DA28" i="1"/>
  <c r="DA26" i="1"/>
  <c r="DA30" i="1"/>
  <c r="DA29" i="1"/>
  <c r="DA49" i="1"/>
  <c r="DA48" i="1"/>
  <c r="DA47" i="1"/>
  <c r="DA46" i="1"/>
  <c r="DA44" i="1"/>
  <c r="DA27" i="1"/>
  <c r="DF46" i="1"/>
  <c r="BN46" i="1" s="1"/>
  <c r="DF44" i="1"/>
  <c r="BN44" i="1" s="1"/>
  <c r="DF43" i="1"/>
  <c r="BN43" i="1" s="1"/>
  <c r="DF42" i="1"/>
  <c r="BN42" i="1" s="1"/>
  <c r="DF45" i="1"/>
  <c r="BN45" i="1" s="1"/>
  <c r="DF32" i="1"/>
  <c r="DF28" i="1"/>
  <c r="DF26" i="1"/>
  <c r="DF30" i="1"/>
  <c r="DF33" i="1"/>
  <c r="DF31" i="1"/>
  <c r="DF29" i="1"/>
  <c r="DF27" i="1"/>
  <c r="DF49" i="1"/>
  <c r="BN49" i="1" s="1"/>
  <c r="DF48" i="1"/>
  <c r="BN48" i="1" s="1"/>
  <c r="DF47" i="1"/>
  <c r="BN47" i="1" s="1"/>
  <c r="DK47" i="1"/>
  <c r="DK46" i="1"/>
  <c r="DK45" i="1"/>
  <c r="DK44" i="1"/>
  <c r="DK43" i="1"/>
  <c r="DK42" i="1"/>
  <c r="DK33" i="1"/>
  <c r="DK30" i="1"/>
  <c r="DK29" i="1"/>
  <c r="DK32" i="1"/>
  <c r="DK28" i="1"/>
  <c r="DK27" i="1"/>
  <c r="DK31" i="1"/>
  <c r="DK26" i="1"/>
  <c r="DK49" i="1"/>
  <c r="DK48" i="1"/>
  <c r="DP48" i="1"/>
  <c r="DP47" i="1"/>
  <c r="DP46" i="1"/>
  <c r="DP45" i="1"/>
  <c r="DP44" i="1"/>
  <c r="DP43" i="1"/>
  <c r="DP42" i="1"/>
  <c r="DP28" i="1"/>
  <c r="DP30" i="1"/>
  <c r="DP29" i="1"/>
  <c r="DP26" i="1"/>
  <c r="DP32" i="1"/>
  <c r="DP31" i="1"/>
  <c r="DP33" i="1"/>
  <c r="DP27" i="1"/>
  <c r="DP49" i="1"/>
  <c r="DU49" i="1"/>
  <c r="DU48" i="1"/>
  <c r="DU47" i="1"/>
  <c r="DU46" i="1"/>
  <c r="DU45" i="1"/>
  <c r="DU44" i="1"/>
  <c r="DU43" i="1"/>
  <c r="DU42" i="1"/>
  <c r="DU33" i="1"/>
  <c r="DU31" i="1"/>
  <c r="DU26" i="1"/>
  <c r="DU30" i="1"/>
  <c r="DU29" i="1"/>
  <c r="DU28" i="1"/>
  <c r="DU32" i="1"/>
  <c r="DU27" i="1"/>
  <c r="DZ49" i="1"/>
  <c r="DZ48" i="1"/>
  <c r="DZ47" i="1"/>
  <c r="DZ46" i="1"/>
  <c r="DZ44" i="1"/>
  <c r="DZ43" i="1"/>
  <c r="DZ45" i="1"/>
  <c r="DZ42" i="1"/>
  <c r="DZ33" i="1"/>
  <c r="DZ30" i="1"/>
  <c r="DZ29" i="1"/>
  <c r="DZ28" i="1"/>
  <c r="DZ26" i="1"/>
  <c r="DZ31" i="1"/>
  <c r="DZ32" i="1"/>
  <c r="DZ27" i="1"/>
  <c r="EE49" i="1"/>
  <c r="EE48" i="1"/>
  <c r="EE47" i="1"/>
  <c r="EE46" i="1"/>
  <c r="EE45" i="1"/>
  <c r="EE44" i="1"/>
  <c r="EE43" i="1"/>
  <c r="EE42" i="1"/>
  <c r="EE33" i="1"/>
  <c r="EE31" i="1"/>
  <c r="EE30" i="1"/>
  <c r="EE29" i="1"/>
  <c r="EE28" i="1"/>
  <c r="EE26" i="1"/>
  <c r="EE27" i="1"/>
  <c r="EE32" i="1"/>
  <c r="K23" i="1"/>
  <c r="CK36" i="1"/>
  <c r="CK30" i="1"/>
  <c r="CK41" i="1"/>
  <c r="CK39" i="1"/>
  <c r="CK32" i="1"/>
  <c r="CK26" i="1"/>
  <c r="BB26" i="1" s="1"/>
  <c r="CK38" i="1"/>
  <c r="CK27" i="1"/>
  <c r="CK35" i="1"/>
  <c r="CK34" i="1"/>
  <c r="CK31" i="1"/>
  <c r="CK33" i="1"/>
  <c r="CK40" i="1"/>
  <c r="CK29" i="1"/>
  <c r="CK28" i="1"/>
  <c r="CK37" i="1"/>
  <c r="CP35" i="1"/>
  <c r="CP33" i="1"/>
  <c r="CP32" i="1"/>
  <c r="CP29" i="1"/>
  <c r="CP41" i="1"/>
  <c r="CP28" i="1"/>
  <c r="CP26" i="1"/>
  <c r="CP34" i="1"/>
  <c r="CP39" i="1"/>
  <c r="CP37" i="1"/>
  <c r="CP31" i="1"/>
  <c r="CP27" i="1"/>
  <c r="CP40" i="1"/>
  <c r="CP36" i="1"/>
  <c r="CP30" i="1"/>
  <c r="CP38" i="1"/>
  <c r="CU40" i="1"/>
  <c r="CU39" i="1"/>
  <c r="CU37" i="1"/>
  <c r="CU33" i="1"/>
  <c r="CU32" i="1"/>
  <c r="CU30" i="1"/>
  <c r="CU36" i="1"/>
  <c r="CU38" i="1"/>
  <c r="CU34" i="1"/>
  <c r="CU29" i="1"/>
  <c r="CU41" i="1"/>
  <c r="CU35" i="1"/>
  <c r="CU28" i="1"/>
  <c r="CU27" i="1"/>
  <c r="CU26" i="1"/>
  <c r="CU31" i="1"/>
  <c r="CZ39" i="1"/>
  <c r="CZ29" i="1"/>
  <c r="CZ37" i="1"/>
  <c r="CZ33" i="1"/>
  <c r="CZ30" i="1"/>
  <c r="CZ32" i="1"/>
  <c r="CZ40" i="1"/>
  <c r="CZ38" i="1"/>
  <c r="CZ34" i="1"/>
  <c r="CZ28" i="1"/>
  <c r="CZ27" i="1"/>
  <c r="CZ41" i="1"/>
  <c r="CZ36" i="1"/>
  <c r="CZ31" i="1"/>
  <c r="CZ26" i="1"/>
  <c r="CZ35" i="1"/>
  <c r="DE34" i="1"/>
  <c r="BN34" i="1" s="1"/>
  <c r="DE28" i="1"/>
  <c r="BN28" i="1" s="1"/>
  <c r="DE41" i="1"/>
  <c r="BN41" i="1" s="1"/>
  <c r="DE37" i="1"/>
  <c r="BN37" i="1" s="1"/>
  <c r="DE35" i="1"/>
  <c r="BN35" i="1" s="1"/>
  <c r="DE40" i="1"/>
  <c r="BN40" i="1" s="1"/>
  <c r="DE36" i="1"/>
  <c r="BN36" i="1" s="1"/>
  <c r="DE33" i="1"/>
  <c r="BN33" i="1" s="1"/>
  <c r="DE38" i="1"/>
  <c r="BN38" i="1" s="1"/>
  <c r="DE31" i="1"/>
  <c r="BN31" i="1" s="1"/>
  <c r="DE27" i="1"/>
  <c r="BN27" i="1" s="1"/>
  <c r="DE26" i="1"/>
  <c r="BN26" i="1" s="1"/>
  <c r="DE29" i="1"/>
  <c r="BN29" i="1" s="1"/>
  <c r="DE32" i="1"/>
  <c r="BN32" i="1" s="1"/>
  <c r="DE39" i="1"/>
  <c r="BN39" i="1" s="1"/>
  <c r="DE30" i="1"/>
  <c r="BN30" i="1" s="1"/>
  <c r="DJ36" i="1"/>
  <c r="DJ29" i="1"/>
  <c r="DJ41" i="1"/>
  <c r="DJ40" i="1"/>
  <c r="DJ37" i="1"/>
  <c r="DJ32" i="1"/>
  <c r="DJ38" i="1"/>
  <c r="DJ34" i="1"/>
  <c r="DJ31" i="1"/>
  <c r="DJ26" i="1"/>
  <c r="DJ35" i="1"/>
  <c r="DJ33" i="1"/>
  <c r="DJ30" i="1"/>
  <c r="DJ27" i="1"/>
  <c r="DJ39" i="1"/>
  <c r="DJ28" i="1"/>
  <c r="DO40" i="1"/>
  <c r="DO39" i="1"/>
  <c r="DO33" i="1"/>
  <c r="DO30" i="1"/>
  <c r="DO37" i="1"/>
  <c r="DO38" i="1"/>
  <c r="DO34" i="1"/>
  <c r="DO32" i="1"/>
  <c r="DO29" i="1"/>
  <c r="DO27" i="1"/>
  <c r="DO36" i="1"/>
  <c r="DO31" i="1"/>
  <c r="DO28" i="1"/>
  <c r="DO35" i="1"/>
  <c r="DO41" i="1"/>
  <c r="DO26" i="1"/>
  <c r="DT40" i="1"/>
  <c r="DT39" i="1"/>
  <c r="DT37" i="1"/>
  <c r="DT36" i="1"/>
  <c r="DT31" i="1"/>
  <c r="DT29" i="1"/>
  <c r="DT28" i="1"/>
  <c r="DT27" i="1"/>
  <c r="DT41" i="1"/>
  <c r="DT34" i="1"/>
  <c r="DT33" i="1"/>
  <c r="DT32" i="1"/>
  <c r="DT26" i="1"/>
  <c r="DT35" i="1"/>
  <c r="DT30" i="1"/>
  <c r="DT38" i="1"/>
  <c r="DY41" i="1"/>
  <c r="DY38" i="1"/>
  <c r="DY33" i="1"/>
  <c r="DY31" i="1"/>
  <c r="DY30" i="1"/>
  <c r="DY26" i="1"/>
  <c r="DY39" i="1"/>
  <c r="DY28" i="1"/>
  <c r="DY36" i="1"/>
  <c r="DY34" i="1"/>
  <c r="DY29" i="1"/>
  <c r="DY40" i="1"/>
  <c r="DY37" i="1"/>
  <c r="DY32" i="1"/>
  <c r="DY35" i="1"/>
  <c r="DY27" i="1"/>
  <c r="ED40" i="1"/>
  <c r="ED38" i="1"/>
  <c r="ED36" i="1"/>
  <c r="ED35" i="1"/>
  <c r="ED34" i="1"/>
  <c r="ED32" i="1"/>
  <c r="ED28" i="1"/>
  <c r="ED37" i="1"/>
  <c r="ED33" i="1"/>
  <c r="ED30" i="1"/>
  <c r="ED27" i="1"/>
  <c r="ED41" i="1"/>
  <c r="ED31" i="1"/>
  <c r="ED26" i="1"/>
  <c r="ED39" i="1"/>
  <c r="ED29" i="1"/>
  <c r="J23" i="1"/>
  <c r="O95" i="1"/>
  <c r="C12" i="1" s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C11" i="1" s="1"/>
  <c r="O78" i="1"/>
  <c r="O77" i="1"/>
  <c r="O76" i="1"/>
  <c r="O75" i="1"/>
  <c r="O74" i="1"/>
  <c r="O73" i="1"/>
  <c r="O72" i="1"/>
  <c r="O71" i="1"/>
  <c r="C10" i="1" s="1"/>
  <c r="O70" i="1"/>
  <c r="O69" i="1"/>
  <c r="O68" i="1"/>
  <c r="O67" i="1"/>
  <c r="O66" i="1"/>
  <c r="O65" i="1"/>
  <c r="O64" i="1"/>
  <c r="EL51" i="1"/>
  <c r="EL50" i="1"/>
  <c r="EL47" i="1"/>
  <c r="EL46" i="1"/>
  <c r="EL42" i="1"/>
  <c r="EL35" i="1"/>
  <c r="EL43" i="1"/>
  <c r="EL38" i="1"/>
  <c r="EL30" i="1"/>
  <c r="EL34" i="1"/>
  <c r="EL27" i="1"/>
  <c r="EL31" i="1"/>
  <c r="EL39" i="1"/>
  <c r="EL26" i="1"/>
  <c r="EL55" i="1"/>
  <c r="EL54" i="1"/>
  <c r="CI38" i="1"/>
  <c r="CI30" i="1"/>
  <c r="CI26" i="1"/>
  <c r="CI31" i="1"/>
  <c r="CI39" i="1"/>
  <c r="CI35" i="1"/>
  <c r="CI34" i="1"/>
  <c r="CI27" i="1"/>
  <c r="E56" i="1"/>
  <c r="CI55" i="1"/>
  <c r="CI54" i="1"/>
  <c r="CI51" i="1"/>
  <c r="CI50" i="1"/>
  <c r="CI47" i="1"/>
  <c r="CI46" i="1"/>
  <c r="CI43" i="1"/>
  <c r="CI42" i="1"/>
  <c r="EK52" i="1"/>
  <c r="EK51" i="1"/>
  <c r="EK50" i="1"/>
  <c r="EK43" i="1"/>
  <c r="EK27" i="1"/>
  <c r="EK45" i="1"/>
  <c r="EK44" i="1"/>
  <c r="EK42" i="1"/>
  <c r="EK37" i="1"/>
  <c r="EK34" i="1"/>
  <c r="EK29" i="1"/>
  <c r="EK28" i="1"/>
  <c r="EK26" i="1"/>
  <c r="EK36" i="1"/>
  <c r="EK35" i="1"/>
  <c r="EK53" i="1"/>
  <c r="CH35" i="1"/>
  <c r="CH29" i="1"/>
  <c r="CH36" i="1"/>
  <c r="CH28" i="1"/>
  <c r="CH34" i="1"/>
  <c r="CH27" i="1"/>
  <c r="CH37" i="1"/>
  <c r="CH26" i="1"/>
  <c r="D56" i="1"/>
  <c r="CH53" i="1"/>
  <c r="CH52" i="1"/>
  <c r="CH51" i="1"/>
  <c r="CH50" i="1"/>
  <c r="CH43" i="1"/>
  <c r="CH42" i="1"/>
  <c r="CH45" i="1"/>
  <c r="CH44" i="1"/>
  <c r="EJ49" i="1"/>
  <c r="EJ48" i="1"/>
  <c r="EJ47" i="1"/>
  <c r="EJ46" i="1"/>
  <c r="EJ45" i="1"/>
  <c r="EJ44" i="1"/>
  <c r="EJ26" i="1"/>
  <c r="EJ43" i="1"/>
  <c r="EJ42" i="1"/>
  <c r="EJ29" i="1"/>
  <c r="EJ27" i="1"/>
  <c r="EJ30" i="1"/>
  <c r="EJ31" i="1"/>
  <c r="EJ28" i="1"/>
  <c r="EJ33" i="1"/>
  <c r="EJ32" i="1"/>
  <c r="CG30" i="1"/>
  <c r="CG29" i="1"/>
  <c r="CG33" i="1"/>
  <c r="CG32" i="1"/>
  <c r="CG31" i="1"/>
  <c r="CG27" i="1"/>
  <c r="CG26" i="1"/>
  <c r="CG28" i="1"/>
  <c r="C56" i="1"/>
  <c r="CG49" i="1"/>
  <c r="CG48" i="1"/>
  <c r="CG47" i="1"/>
  <c r="CG46" i="1"/>
  <c r="CG45" i="1"/>
  <c r="CG44" i="1"/>
  <c r="CG43" i="1"/>
  <c r="CG42" i="1"/>
  <c r="EI37" i="1"/>
  <c r="EI34" i="1"/>
  <c r="EI31" i="1"/>
  <c r="EI41" i="1"/>
  <c r="EI40" i="1"/>
  <c r="EI39" i="1"/>
  <c r="EI36" i="1"/>
  <c r="EI32" i="1"/>
  <c r="EI38" i="1"/>
  <c r="EI35" i="1"/>
  <c r="EI33" i="1"/>
  <c r="EI28" i="1"/>
  <c r="EI30" i="1"/>
  <c r="EI29" i="1"/>
  <c r="EI27" i="1"/>
  <c r="EI26" i="1"/>
  <c r="CF39" i="1"/>
  <c r="CF29" i="1"/>
  <c r="CF37" i="1"/>
  <c r="CF33" i="1"/>
  <c r="CF30" i="1"/>
  <c r="CF38" i="1"/>
  <c r="CF34" i="1"/>
  <c r="CF40" i="1"/>
  <c r="CF36" i="1"/>
  <c r="CF32" i="1"/>
  <c r="B56" i="1"/>
  <c r="CF26" i="1"/>
  <c r="CF41" i="1"/>
  <c r="CF35" i="1"/>
  <c r="CF31" i="1"/>
  <c r="CF28" i="1"/>
  <c r="CF27" i="1"/>
  <c r="BH56" i="1" l="1"/>
  <c r="AA56" i="1" s="1"/>
  <c r="K50" i="2"/>
  <c r="D59" i="2"/>
  <c r="D74" i="2"/>
  <c r="BT56" i="1"/>
  <c r="AM56" i="1" s="1"/>
  <c r="BW56" i="1"/>
  <c r="AP56" i="1" s="1"/>
  <c r="BZ56" i="1"/>
  <c r="AS56" i="1" s="1"/>
  <c r="CC56" i="1"/>
  <c r="AV56" i="1" s="1"/>
  <c r="ER56" i="1"/>
  <c r="AY56" i="1"/>
  <c r="R56" i="1" s="1"/>
  <c r="Q56" i="1" s="1"/>
  <c r="EQ30" i="1"/>
  <c r="EQ26" i="1"/>
  <c r="EQ31" i="1"/>
  <c r="EQ39" i="1"/>
  <c r="EQ35" i="1"/>
  <c r="EQ34" i="1"/>
  <c r="EQ27" i="1"/>
  <c r="EQ51" i="1"/>
  <c r="EQ38" i="1"/>
  <c r="EQ50" i="1"/>
  <c r="EQ47" i="1"/>
  <c r="EQ46" i="1"/>
  <c r="EQ43" i="1"/>
  <c r="EQ42" i="1"/>
  <c r="EP35" i="1"/>
  <c r="EP29" i="1"/>
  <c r="EP36" i="1"/>
  <c r="EP28" i="1"/>
  <c r="EP34" i="1"/>
  <c r="EP27" i="1"/>
  <c r="EP37" i="1"/>
  <c r="EP26" i="1"/>
  <c r="EP43" i="1"/>
  <c r="EP42" i="1"/>
  <c r="EP45" i="1"/>
  <c r="EP44" i="1"/>
  <c r="EO30" i="1"/>
  <c r="EO29" i="1"/>
  <c r="EO33" i="1"/>
  <c r="EO32" i="1"/>
  <c r="EO31" i="1"/>
  <c r="EO27" i="1"/>
  <c r="EO26" i="1"/>
  <c r="EO28" i="1"/>
  <c r="J5" i="2"/>
  <c r="J50" i="2"/>
  <c r="E57" i="2"/>
  <c r="L57" i="2" s="1"/>
  <c r="E52" i="2"/>
  <c r="E58" i="2"/>
  <c r="L58" i="2" s="1"/>
  <c r="E51" i="2"/>
  <c r="E53" i="2"/>
  <c r="E55" i="2"/>
  <c r="E54" i="2"/>
  <c r="E59" i="2"/>
  <c r="L59" i="2" s="1"/>
  <c r="E56" i="2"/>
  <c r="D52" i="2"/>
  <c r="D55" i="2"/>
  <c r="D54" i="2"/>
  <c r="D53" i="2"/>
  <c r="D57" i="2"/>
  <c r="K57" i="2" s="1"/>
  <c r="D56" i="2"/>
  <c r="K59" i="2"/>
  <c r="D58" i="2"/>
  <c r="K58" i="2" s="1"/>
  <c r="D51" i="2"/>
  <c r="J3" i="2" s="1"/>
  <c r="AZ56" i="1"/>
  <c r="S56" i="1" s="1"/>
  <c r="BK56" i="1"/>
  <c r="AD56" i="1" s="1"/>
  <c r="BA56" i="1"/>
  <c r="T56" i="1" s="1"/>
  <c r="BQ56" i="1"/>
  <c r="AJ56" i="1" s="1"/>
  <c r="BP56" i="1"/>
  <c r="AI56" i="1" s="1"/>
  <c r="BO56" i="1"/>
  <c r="AH56" i="1" s="1"/>
  <c r="BR56" i="1"/>
  <c r="AK56" i="1" s="1"/>
  <c r="BS56" i="1"/>
  <c r="AL56" i="1" s="1"/>
  <c r="BL56" i="1"/>
  <c r="AE56" i="1" s="1"/>
  <c r="BM56" i="1"/>
  <c r="AF56" i="1" s="1"/>
  <c r="BU56" i="1"/>
  <c r="AN56" i="1" s="1"/>
  <c r="BV56" i="1"/>
  <c r="AO56" i="1" s="1"/>
  <c r="BX56" i="1"/>
  <c r="AQ56" i="1" s="1"/>
  <c r="BY56" i="1"/>
  <c r="AR56" i="1" s="1"/>
  <c r="CA56" i="1"/>
  <c r="AT56" i="1" s="1"/>
  <c r="CB56" i="1"/>
  <c r="AU56" i="1" s="1"/>
  <c r="CD56" i="1"/>
  <c r="AW56" i="1" s="1"/>
  <c r="CE56" i="1"/>
  <c r="AX56" i="1" s="1"/>
  <c r="BJ56" i="1"/>
  <c r="AC56" i="1" s="1"/>
  <c r="BI56" i="1"/>
  <c r="AB56" i="1" s="1"/>
  <c r="BG56" i="1"/>
  <c r="Z56" i="1" s="1"/>
  <c r="BF56" i="1"/>
  <c r="Y56" i="1" s="1"/>
  <c r="BD56" i="1"/>
  <c r="W56" i="1" s="1"/>
  <c r="BC56" i="1"/>
  <c r="V56" i="1" s="1"/>
  <c r="BB55" i="1"/>
  <c r="U55" i="1" s="1"/>
  <c r="BC55" i="1"/>
  <c r="V55" i="1" s="1"/>
  <c r="BB54" i="1"/>
  <c r="U54" i="1" s="1"/>
  <c r="BE55" i="1"/>
  <c r="X55" i="1" s="1"/>
  <c r="BF55" i="1"/>
  <c r="Y55" i="1" s="1"/>
  <c r="BE54" i="1"/>
  <c r="X54" i="1" s="1"/>
  <c r="BH55" i="1"/>
  <c r="AA55" i="1" s="1"/>
  <c r="BI55" i="1"/>
  <c r="AB55" i="1" s="1"/>
  <c r="BH54" i="1"/>
  <c r="AA54" i="1" s="1"/>
  <c r="BK55" i="1"/>
  <c r="AD55" i="1" s="1"/>
  <c r="BL55" i="1"/>
  <c r="AE55" i="1" s="1"/>
  <c r="BK54" i="1"/>
  <c r="AD54" i="1" s="1"/>
  <c r="AG55" i="1"/>
  <c r="BO55" i="1"/>
  <c r="AH55" i="1" s="1"/>
  <c r="AG54" i="1"/>
  <c r="BA55" i="1"/>
  <c r="T55" i="1" s="1"/>
  <c r="BQ55" i="1"/>
  <c r="AJ55" i="1" s="1"/>
  <c r="BR55" i="1"/>
  <c r="AK55" i="1" s="1"/>
  <c r="BQ54" i="1"/>
  <c r="AJ54" i="1" s="1"/>
  <c r="BT55" i="1"/>
  <c r="AM55" i="1" s="1"/>
  <c r="BU55" i="1"/>
  <c r="AN55" i="1" s="1"/>
  <c r="BT54" i="1"/>
  <c r="AM54" i="1" s="1"/>
  <c r="BW55" i="1"/>
  <c r="AP55" i="1" s="1"/>
  <c r="BX55" i="1"/>
  <c r="AQ55" i="1" s="1"/>
  <c r="BW54" i="1"/>
  <c r="AP54" i="1" s="1"/>
  <c r="BZ55" i="1"/>
  <c r="AS55" i="1" s="1"/>
  <c r="CA55" i="1"/>
  <c r="AT55" i="1" s="1"/>
  <c r="BZ54" i="1"/>
  <c r="AS54" i="1" s="1"/>
  <c r="CC55" i="1"/>
  <c r="AV55" i="1" s="1"/>
  <c r="CD55" i="1"/>
  <c r="AW55" i="1" s="1"/>
  <c r="CC54" i="1"/>
  <c r="AV54" i="1" s="1"/>
  <c r="BB53" i="1"/>
  <c r="U53" i="1" s="1"/>
  <c r="BC53" i="1"/>
  <c r="V53" i="1" s="1"/>
  <c r="BD53" i="1"/>
  <c r="W53" i="1" s="1"/>
  <c r="BB52" i="1"/>
  <c r="U52" i="1" s="1"/>
  <c r="BB51" i="1"/>
  <c r="U51" i="1" s="1"/>
  <c r="BC51" i="1"/>
  <c r="V51" i="1" s="1"/>
  <c r="BD51" i="1"/>
  <c r="W51" i="1" s="1"/>
  <c r="BB50" i="1"/>
  <c r="U50" i="1" s="1"/>
  <c r="BE53" i="1"/>
  <c r="X53" i="1" s="1"/>
  <c r="BF53" i="1"/>
  <c r="Y53" i="1" s="1"/>
  <c r="BG53" i="1"/>
  <c r="Z53" i="1" s="1"/>
  <c r="BE52" i="1"/>
  <c r="X52" i="1" s="1"/>
  <c r="BE51" i="1"/>
  <c r="X51" i="1" s="1"/>
  <c r="BF51" i="1"/>
  <c r="Y51" i="1" s="1"/>
  <c r="BG51" i="1"/>
  <c r="Z51" i="1" s="1"/>
  <c r="BE50" i="1"/>
  <c r="X50" i="1" s="1"/>
  <c r="BH53" i="1"/>
  <c r="AA53" i="1" s="1"/>
  <c r="BI53" i="1"/>
  <c r="AB53" i="1" s="1"/>
  <c r="BJ53" i="1"/>
  <c r="AC53" i="1" s="1"/>
  <c r="BH52" i="1"/>
  <c r="AA52" i="1" s="1"/>
  <c r="BH51" i="1"/>
  <c r="AA51" i="1" s="1"/>
  <c r="BI51" i="1"/>
  <c r="AB51" i="1" s="1"/>
  <c r="BJ51" i="1"/>
  <c r="AC51" i="1" s="1"/>
  <c r="BH50" i="1"/>
  <c r="AA50" i="1" s="1"/>
  <c r="BK53" i="1"/>
  <c r="AD53" i="1" s="1"/>
  <c r="BL53" i="1"/>
  <c r="AE53" i="1" s="1"/>
  <c r="BM53" i="1"/>
  <c r="AF53" i="1" s="1"/>
  <c r="BK52" i="1"/>
  <c r="AD52" i="1" s="1"/>
  <c r="BK51" i="1"/>
  <c r="AD51" i="1" s="1"/>
  <c r="BL51" i="1"/>
  <c r="AE51" i="1" s="1"/>
  <c r="BM51" i="1"/>
  <c r="AF51" i="1" s="1"/>
  <c r="BK50" i="1"/>
  <c r="AD50" i="1" s="1"/>
  <c r="AG53" i="1"/>
  <c r="BO53" i="1"/>
  <c r="AH53" i="1" s="1"/>
  <c r="BP53" i="1"/>
  <c r="AI53" i="1" s="1"/>
  <c r="AG52" i="1"/>
  <c r="AG51" i="1"/>
  <c r="BO51" i="1"/>
  <c r="AH51" i="1" s="1"/>
  <c r="BP51" i="1"/>
  <c r="AI51" i="1" s="1"/>
  <c r="AG50" i="1"/>
  <c r="BQ53" i="1"/>
  <c r="AJ53" i="1" s="1"/>
  <c r="BR53" i="1"/>
  <c r="AK53" i="1" s="1"/>
  <c r="BS53" i="1"/>
  <c r="AL53" i="1" s="1"/>
  <c r="BQ52" i="1"/>
  <c r="AJ52" i="1" s="1"/>
  <c r="BQ51" i="1"/>
  <c r="AJ51" i="1" s="1"/>
  <c r="BR51" i="1"/>
  <c r="AK51" i="1" s="1"/>
  <c r="BS51" i="1"/>
  <c r="AL51" i="1" s="1"/>
  <c r="BQ50" i="1"/>
  <c r="AJ50" i="1" s="1"/>
  <c r="BT53" i="1"/>
  <c r="AM53" i="1" s="1"/>
  <c r="BU53" i="1"/>
  <c r="AN53" i="1" s="1"/>
  <c r="BV53" i="1"/>
  <c r="AO53" i="1" s="1"/>
  <c r="BT52" i="1"/>
  <c r="AM52" i="1" s="1"/>
  <c r="BT51" i="1"/>
  <c r="AM51" i="1" s="1"/>
  <c r="BU51" i="1"/>
  <c r="AN51" i="1" s="1"/>
  <c r="BV51" i="1"/>
  <c r="AO51" i="1" s="1"/>
  <c r="BT50" i="1"/>
  <c r="AM50" i="1" s="1"/>
  <c r="BW53" i="1"/>
  <c r="AP53" i="1" s="1"/>
  <c r="BX53" i="1"/>
  <c r="AQ53" i="1" s="1"/>
  <c r="BY53" i="1"/>
  <c r="AR53" i="1" s="1"/>
  <c r="BW52" i="1"/>
  <c r="AP52" i="1" s="1"/>
  <c r="BW51" i="1"/>
  <c r="AP51" i="1" s="1"/>
  <c r="BX51" i="1"/>
  <c r="AQ51" i="1" s="1"/>
  <c r="BY51" i="1"/>
  <c r="AR51" i="1" s="1"/>
  <c r="BW50" i="1"/>
  <c r="AP50" i="1" s="1"/>
  <c r="BZ50" i="1"/>
  <c r="AS50" i="1" s="1"/>
  <c r="BZ53" i="1"/>
  <c r="AS53" i="1" s="1"/>
  <c r="CA53" i="1"/>
  <c r="AT53" i="1" s="1"/>
  <c r="CB53" i="1"/>
  <c r="AU53" i="1" s="1"/>
  <c r="BZ52" i="1"/>
  <c r="AS52" i="1" s="1"/>
  <c r="BZ51" i="1"/>
  <c r="AS51" i="1" s="1"/>
  <c r="CA51" i="1"/>
  <c r="AT51" i="1" s="1"/>
  <c r="CC51" i="1"/>
  <c r="AV51" i="1" s="1"/>
  <c r="CD51" i="1"/>
  <c r="AW51" i="1" s="1"/>
  <c r="CC50" i="1"/>
  <c r="AV50" i="1" s="1"/>
  <c r="CC53" i="1"/>
  <c r="AV53" i="1" s="1"/>
  <c r="CD53" i="1"/>
  <c r="AW53" i="1" s="1"/>
  <c r="CE53" i="1"/>
  <c r="AX53" i="1" s="1"/>
  <c r="CC52" i="1"/>
  <c r="AV52" i="1" s="1"/>
  <c r="BB42" i="1"/>
  <c r="U42" i="1" s="1"/>
  <c r="BB49" i="1"/>
  <c r="U49" i="1" s="1"/>
  <c r="BC49" i="1"/>
  <c r="V49" i="1" s="1"/>
  <c r="BD49" i="1"/>
  <c r="W49" i="1" s="1"/>
  <c r="BB48" i="1"/>
  <c r="U48" i="1" s="1"/>
  <c r="BB47" i="1"/>
  <c r="U47" i="1" s="1"/>
  <c r="BC47" i="1"/>
  <c r="V47" i="1" s="1"/>
  <c r="BD47" i="1"/>
  <c r="W47" i="1" s="1"/>
  <c r="BB46" i="1"/>
  <c r="U46" i="1" s="1"/>
  <c r="BB43" i="1"/>
  <c r="U43" i="1" s="1"/>
  <c r="BD43" i="1"/>
  <c r="W43" i="1" s="1"/>
  <c r="BC43" i="1"/>
  <c r="V43" i="1" s="1"/>
  <c r="BB45" i="1"/>
  <c r="U45" i="1" s="1"/>
  <c r="BC45" i="1"/>
  <c r="V45" i="1" s="1"/>
  <c r="BD45" i="1"/>
  <c r="W45" i="1" s="1"/>
  <c r="BB44" i="1"/>
  <c r="U44" i="1" s="1"/>
  <c r="BG45" i="1"/>
  <c r="Z45" i="1" s="1"/>
  <c r="BE45" i="1"/>
  <c r="X45" i="1" s="1"/>
  <c r="BF45" i="1"/>
  <c r="Y45" i="1" s="1"/>
  <c r="BE44" i="1"/>
  <c r="X44" i="1" s="1"/>
  <c r="BF43" i="1"/>
  <c r="Y43" i="1" s="1"/>
  <c r="BE43" i="1"/>
  <c r="X43" i="1" s="1"/>
  <c r="BG43" i="1"/>
  <c r="Z43" i="1" s="1"/>
  <c r="BE42" i="1"/>
  <c r="X42" i="1" s="1"/>
  <c r="BE49" i="1"/>
  <c r="X49" i="1" s="1"/>
  <c r="BF49" i="1"/>
  <c r="Y49" i="1" s="1"/>
  <c r="BG49" i="1"/>
  <c r="Z49" i="1" s="1"/>
  <c r="BE48" i="1"/>
  <c r="X48" i="1" s="1"/>
  <c r="BE47" i="1"/>
  <c r="X47" i="1" s="1"/>
  <c r="BF47" i="1"/>
  <c r="Y47" i="1" s="1"/>
  <c r="BG47" i="1"/>
  <c r="Z47" i="1" s="1"/>
  <c r="BE46" i="1"/>
  <c r="X46" i="1" s="1"/>
  <c r="BH44" i="1"/>
  <c r="AA44" i="1" s="1"/>
  <c r="BI43" i="1"/>
  <c r="AB43" i="1" s="1"/>
  <c r="BH43" i="1"/>
  <c r="AA43" i="1" s="1"/>
  <c r="BJ43" i="1"/>
  <c r="AC43" i="1" s="1"/>
  <c r="BH42" i="1"/>
  <c r="AA42" i="1" s="1"/>
  <c r="BH49" i="1"/>
  <c r="AA49" i="1" s="1"/>
  <c r="BI49" i="1"/>
  <c r="AB49" i="1" s="1"/>
  <c r="BJ49" i="1"/>
  <c r="AC49" i="1" s="1"/>
  <c r="BH48" i="1"/>
  <c r="AA48" i="1" s="1"/>
  <c r="BH47" i="1"/>
  <c r="AA47" i="1" s="1"/>
  <c r="BI47" i="1"/>
  <c r="AB47" i="1" s="1"/>
  <c r="BJ47" i="1"/>
  <c r="AC47" i="1" s="1"/>
  <c r="BH46" i="1"/>
  <c r="AA46" i="1" s="1"/>
  <c r="BH45" i="1"/>
  <c r="AA45" i="1" s="1"/>
  <c r="BI45" i="1"/>
  <c r="AB45" i="1" s="1"/>
  <c r="BJ45" i="1"/>
  <c r="AC45" i="1" s="1"/>
  <c r="BK45" i="1"/>
  <c r="AD45" i="1" s="1"/>
  <c r="BL45" i="1"/>
  <c r="AE45" i="1" s="1"/>
  <c r="BM45" i="1"/>
  <c r="AF45" i="1" s="1"/>
  <c r="BK43" i="1"/>
  <c r="AD43" i="1" s="1"/>
  <c r="BL43" i="1"/>
  <c r="AE43" i="1" s="1"/>
  <c r="BM43" i="1"/>
  <c r="AF43" i="1" s="1"/>
  <c r="BK42" i="1"/>
  <c r="AD42" i="1" s="1"/>
  <c r="BK49" i="1"/>
  <c r="AD49" i="1" s="1"/>
  <c r="BL49" i="1"/>
  <c r="AE49" i="1" s="1"/>
  <c r="BM49" i="1"/>
  <c r="AF49" i="1" s="1"/>
  <c r="BK48" i="1"/>
  <c r="AD48" i="1" s="1"/>
  <c r="BK47" i="1"/>
  <c r="AD47" i="1" s="1"/>
  <c r="BL47" i="1"/>
  <c r="AE47" i="1" s="1"/>
  <c r="BM47" i="1"/>
  <c r="AF47" i="1" s="1"/>
  <c r="BK46" i="1"/>
  <c r="AD46" i="1" s="1"/>
  <c r="BK44" i="1"/>
  <c r="AD44" i="1" s="1"/>
  <c r="AG46" i="1"/>
  <c r="AG44" i="1"/>
  <c r="AG43" i="1"/>
  <c r="BO43" i="1"/>
  <c r="AH43" i="1" s="1"/>
  <c r="BP43" i="1"/>
  <c r="AI43" i="1" s="1"/>
  <c r="AG42" i="1"/>
  <c r="AG45" i="1"/>
  <c r="BO45" i="1"/>
  <c r="AH45" i="1" s="1"/>
  <c r="BP45" i="1"/>
  <c r="AI45" i="1" s="1"/>
  <c r="AG49" i="1"/>
  <c r="BO49" i="1"/>
  <c r="AH49" i="1" s="1"/>
  <c r="BP49" i="1"/>
  <c r="AI49" i="1" s="1"/>
  <c r="AG48" i="1"/>
  <c r="AG47" i="1"/>
  <c r="BO47" i="1"/>
  <c r="AH47" i="1" s="1"/>
  <c r="BP47" i="1"/>
  <c r="AI47" i="1" s="1"/>
  <c r="BQ47" i="1"/>
  <c r="AJ47" i="1" s="1"/>
  <c r="BR47" i="1"/>
  <c r="AK47" i="1" s="1"/>
  <c r="BS47" i="1"/>
  <c r="AL47" i="1" s="1"/>
  <c r="BQ46" i="1"/>
  <c r="AJ46" i="1" s="1"/>
  <c r="BR45" i="1"/>
  <c r="AK45" i="1" s="1"/>
  <c r="BS45" i="1"/>
  <c r="AL45" i="1" s="1"/>
  <c r="BQ45" i="1"/>
  <c r="AJ45" i="1" s="1"/>
  <c r="BQ44" i="1"/>
  <c r="AJ44" i="1" s="1"/>
  <c r="BQ43" i="1"/>
  <c r="AJ43" i="1" s="1"/>
  <c r="BR43" i="1"/>
  <c r="AK43" i="1" s="1"/>
  <c r="BS43" i="1"/>
  <c r="AL43" i="1" s="1"/>
  <c r="BQ42" i="1"/>
  <c r="AJ42" i="1" s="1"/>
  <c r="BQ49" i="1"/>
  <c r="AJ49" i="1" s="1"/>
  <c r="BR49" i="1"/>
  <c r="AK49" i="1" s="1"/>
  <c r="BS49" i="1"/>
  <c r="AL49" i="1" s="1"/>
  <c r="BQ48" i="1"/>
  <c r="AJ48" i="1" s="1"/>
  <c r="BT48" i="1"/>
  <c r="AM48" i="1" s="1"/>
  <c r="BT47" i="1"/>
  <c r="AM47" i="1" s="1"/>
  <c r="BU47" i="1"/>
  <c r="AN47" i="1" s="1"/>
  <c r="BV47" i="1"/>
  <c r="AO47" i="1" s="1"/>
  <c r="BT46" i="1"/>
  <c r="AM46" i="1" s="1"/>
  <c r="BT45" i="1"/>
  <c r="AM45" i="1" s="1"/>
  <c r="BU45" i="1"/>
  <c r="AN45" i="1" s="1"/>
  <c r="BV45" i="1"/>
  <c r="AO45" i="1" s="1"/>
  <c r="BT44" i="1"/>
  <c r="AM44" i="1" s="1"/>
  <c r="BT43" i="1"/>
  <c r="AM43" i="1" s="1"/>
  <c r="BU43" i="1"/>
  <c r="AN43" i="1" s="1"/>
  <c r="BV43" i="1"/>
  <c r="AO43" i="1" s="1"/>
  <c r="BT42" i="1"/>
  <c r="AM42" i="1" s="1"/>
  <c r="BT49" i="1"/>
  <c r="AM49" i="1" s="1"/>
  <c r="BU49" i="1"/>
  <c r="AN49" i="1" s="1"/>
  <c r="BV49" i="1"/>
  <c r="AO49" i="1" s="1"/>
  <c r="BW49" i="1"/>
  <c r="AP49" i="1" s="1"/>
  <c r="BX49" i="1"/>
  <c r="AQ49" i="1" s="1"/>
  <c r="BY49" i="1"/>
  <c r="AR49" i="1" s="1"/>
  <c r="BW48" i="1"/>
  <c r="AP48" i="1" s="1"/>
  <c r="BW47" i="1"/>
  <c r="AP47" i="1" s="1"/>
  <c r="BX47" i="1"/>
  <c r="AQ47" i="1" s="1"/>
  <c r="BY47" i="1"/>
  <c r="AR47" i="1" s="1"/>
  <c r="BW46" i="1"/>
  <c r="AP46" i="1" s="1"/>
  <c r="BW45" i="1"/>
  <c r="AP45" i="1" s="1"/>
  <c r="BX45" i="1"/>
  <c r="AQ45" i="1" s="1"/>
  <c r="BY45" i="1"/>
  <c r="AR45" i="1" s="1"/>
  <c r="BW44" i="1"/>
  <c r="AP44" i="1" s="1"/>
  <c r="BX43" i="1"/>
  <c r="AQ43" i="1" s="1"/>
  <c r="BW43" i="1"/>
  <c r="AP43" i="1" s="1"/>
  <c r="BY43" i="1"/>
  <c r="AR43" i="1" s="1"/>
  <c r="BW42" i="1"/>
  <c r="AP42" i="1" s="1"/>
  <c r="BZ49" i="1"/>
  <c r="AS49" i="1" s="1"/>
  <c r="CA49" i="1"/>
  <c r="AT49" i="1" s="1"/>
  <c r="CB49" i="1"/>
  <c r="AU49" i="1" s="1"/>
  <c r="BZ48" i="1"/>
  <c r="AS48" i="1" s="1"/>
  <c r="BZ47" i="1"/>
  <c r="AS47" i="1" s="1"/>
  <c r="CA47" i="1"/>
  <c r="AT47" i="1" s="1"/>
  <c r="CB47" i="1"/>
  <c r="AU47" i="1" s="1"/>
  <c r="BZ46" i="1"/>
  <c r="AS46" i="1" s="1"/>
  <c r="BZ44" i="1"/>
  <c r="AS44" i="1" s="1"/>
  <c r="CA43" i="1"/>
  <c r="AT43" i="1" s="1"/>
  <c r="CB43" i="1"/>
  <c r="AU43" i="1" s="1"/>
  <c r="BZ43" i="1"/>
  <c r="AS43" i="1" s="1"/>
  <c r="CA45" i="1"/>
  <c r="AT45" i="1" s="1"/>
  <c r="BZ45" i="1"/>
  <c r="AS45" i="1" s="1"/>
  <c r="CB45" i="1"/>
  <c r="AU45" i="1" s="1"/>
  <c r="BZ42" i="1"/>
  <c r="AS42" i="1" s="1"/>
  <c r="CC49" i="1"/>
  <c r="AV49" i="1" s="1"/>
  <c r="CD49" i="1"/>
  <c r="AW49" i="1" s="1"/>
  <c r="CE49" i="1"/>
  <c r="AX49" i="1" s="1"/>
  <c r="CC48" i="1"/>
  <c r="AV48" i="1" s="1"/>
  <c r="CC47" i="1"/>
  <c r="AV47" i="1" s="1"/>
  <c r="CD47" i="1"/>
  <c r="AW47" i="1" s="1"/>
  <c r="CE47" i="1"/>
  <c r="AX47" i="1" s="1"/>
  <c r="CC46" i="1"/>
  <c r="AV46" i="1" s="1"/>
  <c r="CC45" i="1"/>
  <c r="AV45" i="1" s="1"/>
  <c r="CE45" i="1"/>
  <c r="AX45" i="1" s="1"/>
  <c r="CD45" i="1"/>
  <c r="AW45" i="1" s="1"/>
  <c r="CC44" i="1"/>
  <c r="AV44" i="1" s="1"/>
  <c r="CD43" i="1"/>
  <c r="AW43" i="1" s="1"/>
  <c r="CC43" i="1"/>
  <c r="AV43" i="1" s="1"/>
  <c r="CE43" i="1"/>
  <c r="AX43" i="1" s="1"/>
  <c r="CC42" i="1"/>
  <c r="AV42" i="1" s="1"/>
  <c r="BB36" i="1"/>
  <c r="U36" i="1" s="1"/>
  <c r="BB30" i="1"/>
  <c r="U30" i="1" s="1"/>
  <c r="BB41" i="1"/>
  <c r="U41" i="1" s="1"/>
  <c r="BD41" i="1"/>
  <c r="W41" i="1" s="1"/>
  <c r="BC41" i="1"/>
  <c r="V41" i="1" s="1"/>
  <c r="BD39" i="1"/>
  <c r="W39" i="1" s="1"/>
  <c r="BB39" i="1"/>
  <c r="U39" i="1" s="1"/>
  <c r="BC39" i="1"/>
  <c r="V39" i="1" s="1"/>
  <c r="BB32" i="1"/>
  <c r="U32" i="1" s="1"/>
  <c r="U26" i="1"/>
  <c r="BB38" i="1"/>
  <c r="U38" i="1" s="1"/>
  <c r="BB27" i="1"/>
  <c r="U27" i="1" s="1"/>
  <c r="BC27" i="1"/>
  <c r="V27" i="1" s="1"/>
  <c r="BD27" i="1"/>
  <c r="W27" i="1" s="1"/>
  <c r="BB35" i="1"/>
  <c r="U35" i="1" s="1"/>
  <c r="BD35" i="1"/>
  <c r="W35" i="1" s="1"/>
  <c r="BC35" i="1"/>
  <c r="V35" i="1" s="1"/>
  <c r="BB34" i="1"/>
  <c r="U34" i="1" s="1"/>
  <c r="BB31" i="1"/>
  <c r="U31" i="1" s="1"/>
  <c r="BC31" i="1"/>
  <c r="V31" i="1" s="1"/>
  <c r="BD31" i="1"/>
  <c r="W31" i="1" s="1"/>
  <c r="BC33" i="1"/>
  <c r="V33" i="1" s="1"/>
  <c r="BB33" i="1"/>
  <c r="U33" i="1" s="1"/>
  <c r="BD33" i="1"/>
  <c r="W33" i="1" s="1"/>
  <c r="BB40" i="1"/>
  <c r="U40" i="1" s="1"/>
  <c r="BB29" i="1"/>
  <c r="U29" i="1" s="1"/>
  <c r="BD29" i="1"/>
  <c r="W29" i="1" s="1"/>
  <c r="BC29" i="1"/>
  <c r="V29" i="1" s="1"/>
  <c r="BB28" i="1"/>
  <c r="U28" i="1" s="1"/>
  <c r="BD37" i="1"/>
  <c r="W37" i="1" s="1"/>
  <c r="BB37" i="1"/>
  <c r="U37" i="1" s="1"/>
  <c r="BC37" i="1"/>
  <c r="V37" i="1" s="1"/>
  <c r="BE35" i="1"/>
  <c r="X35" i="1" s="1"/>
  <c r="BF35" i="1"/>
  <c r="Y35" i="1" s="1"/>
  <c r="BG35" i="1"/>
  <c r="Z35" i="1" s="1"/>
  <c r="BE33" i="1"/>
  <c r="X33" i="1" s="1"/>
  <c r="BG33" i="1"/>
  <c r="Z33" i="1" s="1"/>
  <c r="BF33" i="1"/>
  <c r="Y33" i="1" s="1"/>
  <c r="BE32" i="1"/>
  <c r="X32" i="1" s="1"/>
  <c r="BE29" i="1"/>
  <c r="X29" i="1" s="1"/>
  <c r="BF29" i="1"/>
  <c r="Y29" i="1" s="1"/>
  <c r="BG29" i="1"/>
  <c r="Z29" i="1" s="1"/>
  <c r="BF41" i="1"/>
  <c r="Y41" i="1" s="1"/>
  <c r="BE41" i="1"/>
  <c r="X41" i="1" s="1"/>
  <c r="BG41" i="1"/>
  <c r="Z41" i="1" s="1"/>
  <c r="BE28" i="1"/>
  <c r="X28" i="1" s="1"/>
  <c r="BE26" i="1"/>
  <c r="X26" i="1" s="1"/>
  <c r="BE34" i="1"/>
  <c r="X34" i="1" s="1"/>
  <c r="BE39" i="1"/>
  <c r="X39" i="1" s="1"/>
  <c r="BF39" i="1"/>
  <c r="Y39" i="1" s="1"/>
  <c r="BG37" i="1"/>
  <c r="Z37" i="1" s="1"/>
  <c r="BE37" i="1"/>
  <c r="X37" i="1" s="1"/>
  <c r="BF37" i="1"/>
  <c r="Y37" i="1" s="1"/>
  <c r="BE31" i="1"/>
  <c r="X31" i="1" s="1"/>
  <c r="BF31" i="1"/>
  <c r="Y31" i="1" s="1"/>
  <c r="BF27" i="1"/>
  <c r="Y27" i="1" s="1"/>
  <c r="BE27" i="1"/>
  <c r="X27" i="1" s="1"/>
  <c r="BE40" i="1"/>
  <c r="X40" i="1" s="1"/>
  <c r="BE36" i="1"/>
  <c r="X36" i="1" s="1"/>
  <c r="BE30" i="1"/>
  <c r="X30" i="1" s="1"/>
  <c r="BE38" i="1"/>
  <c r="X38" i="1" s="1"/>
  <c r="BH40" i="1"/>
  <c r="AA40" i="1" s="1"/>
  <c r="BI39" i="1"/>
  <c r="AB39" i="1" s="1"/>
  <c r="BH39" i="1"/>
  <c r="AA39" i="1" s="1"/>
  <c r="BJ39" i="1"/>
  <c r="AC39" i="1" s="1"/>
  <c r="BI37" i="1"/>
  <c r="AB37" i="1" s="1"/>
  <c r="BJ37" i="1"/>
  <c r="AC37" i="1" s="1"/>
  <c r="BH37" i="1"/>
  <c r="AA37" i="1" s="1"/>
  <c r="BH33" i="1"/>
  <c r="AA33" i="1" s="1"/>
  <c r="BI33" i="1"/>
  <c r="AB33" i="1" s="1"/>
  <c r="BJ33" i="1"/>
  <c r="AC33" i="1" s="1"/>
  <c r="BH32" i="1"/>
  <c r="AA32" i="1" s="1"/>
  <c r="BH30" i="1"/>
  <c r="AA30" i="1" s="1"/>
  <c r="BH36" i="1"/>
  <c r="AA36" i="1" s="1"/>
  <c r="BH38" i="1"/>
  <c r="AA38" i="1" s="1"/>
  <c r="BH34" i="1"/>
  <c r="AA34" i="1" s="1"/>
  <c r="BH29" i="1"/>
  <c r="AA29" i="1" s="1"/>
  <c r="BJ29" i="1"/>
  <c r="AC29" i="1" s="1"/>
  <c r="BI29" i="1"/>
  <c r="AB29" i="1" s="1"/>
  <c r="BJ41" i="1"/>
  <c r="AC41" i="1" s="1"/>
  <c r="BH41" i="1"/>
  <c r="AA41" i="1" s="1"/>
  <c r="BI41" i="1"/>
  <c r="AB41" i="1" s="1"/>
  <c r="BI35" i="1"/>
  <c r="AB35" i="1" s="1"/>
  <c r="BH35" i="1"/>
  <c r="AA35" i="1" s="1"/>
  <c r="BJ35" i="1"/>
  <c r="AC35" i="1" s="1"/>
  <c r="BH28" i="1"/>
  <c r="AA28" i="1" s="1"/>
  <c r="BH27" i="1"/>
  <c r="AA27" i="1" s="1"/>
  <c r="BI27" i="1"/>
  <c r="AB27" i="1" s="1"/>
  <c r="BH26" i="1"/>
  <c r="AA26" i="1" s="1"/>
  <c r="BH31" i="1"/>
  <c r="AA31" i="1" s="1"/>
  <c r="BI31" i="1"/>
  <c r="AB31" i="1" s="1"/>
  <c r="BK39" i="1"/>
  <c r="AD39" i="1" s="1"/>
  <c r="BL39" i="1"/>
  <c r="AE39" i="1" s="1"/>
  <c r="BK29" i="1"/>
  <c r="AD29" i="1" s="1"/>
  <c r="BL29" i="1"/>
  <c r="AE29" i="1" s="1"/>
  <c r="BM29" i="1"/>
  <c r="AF29" i="1" s="1"/>
  <c r="BK37" i="1"/>
  <c r="AD37" i="1" s="1"/>
  <c r="BL37" i="1"/>
  <c r="AE37" i="1" s="1"/>
  <c r="BM37" i="1"/>
  <c r="AF37" i="1" s="1"/>
  <c r="BL33" i="1"/>
  <c r="AE33" i="1" s="1"/>
  <c r="BK33" i="1"/>
  <c r="AD33" i="1" s="1"/>
  <c r="BM33" i="1"/>
  <c r="AF33" i="1" s="1"/>
  <c r="BK30" i="1"/>
  <c r="AD30" i="1" s="1"/>
  <c r="BK32" i="1"/>
  <c r="AD32" i="1" s="1"/>
  <c r="BK40" i="1"/>
  <c r="AD40" i="1" s="1"/>
  <c r="BK38" i="1"/>
  <c r="AD38" i="1" s="1"/>
  <c r="BK34" i="1"/>
  <c r="AD34" i="1" s="1"/>
  <c r="BK28" i="1"/>
  <c r="AD28" i="1" s="1"/>
  <c r="BK27" i="1"/>
  <c r="AD27" i="1" s="1"/>
  <c r="BL27" i="1"/>
  <c r="AE27" i="1" s="1"/>
  <c r="BM27" i="1"/>
  <c r="AF27" i="1" s="1"/>
  <c r="BK41" i="1"/>
  <c r="AD41" i="1" s="1"/>
  <c r="BL41" i="1"/>
  <c r="AE41" i="1" s="1"/>
  <c r="BM41" i="1"/>
  <c r="AF41" i="1" s="1"/>
  <c r="BK36" i="1"/>
  <c r="AD36" i="1" s="1"/>
  <c r="BK31" i="1"/>
  <c r="AD31" i="1" s="1"/>
  <c r="BL31" i="1"/>
  <c r="AE31" i="1" s="1"/>
  <c r="BM31" i="1"/>
  <c r="AF31" i="1" s="1"/>
  <c r="BK26" i="1"/>
  <c r="AD26" i="1" s="1"/>
  <c r="BL35" i="1"/>
  <c r="AE35" i="1" s="1"/>
  <c r="BM35" i="1"/>
  <c r="AF35" i="1" s="1"/>
  <c r="BK35" i="1"/>
  <c r="AD35" i="1" s="1"/>
  <c r="AG34" i="1"/>
  <c r="AG28" i="1"/>
  <c r="BP41" i="1"/>
  <c r="AI41" i="1" s="1"/>
  <c r="AG41" i="1"/>
  <c r="BO41" i="1"/>
  <c r="AH41" i="1" s="1"/>
  <c r="AG37" i="1"/>
  <c r="BP37" i="1"/>
  <c r="AI37" i="1" s="1"/>
  <c r="BO37" i="1"/>
  <c r="AH37" i="1" s="1"/>
  <c r="BO35" i="1"/>
  <c r="AH35" i="1" s="1"/>
  <c r="BP35" i="1"/>
  <c r="AI35" i="1" s="1"/>
  <c r="AG35" i="1"/>
  <c r="AG40" i="1"/>
  <c r="AG36" i="1"/>
  <c r="BP33" i="1"/>
  <c r="AI33" i="1" s="1"/>
  <c r="AG33" i="1"/>
  <c r="BO33" i="1"/>
  <c r="AH33" i="1" s="1"/>
  <c r="AG38" i="1"/>
  <c r="AG31" i="1"/>
  <c r="BO31" i="1"/>
  <c r="AH31" i="1" s="1"/>
  <c r="BP31" i="1"/>
  <c r="AI31" i="1" s="1"/>
  <c r="AG27" i="1"/>
  <c r="BO27" i="1"/>
  <c r="AH27" i="1" s="1"/>
  <c r="BP27" i="1"/>
  <c r="AI27" i="1" s="1"/>
  <c r="AG26" i="1"/>
  <c r="BO29" i="1"/>
  <c r="AH29" i="1" s="1"/>
  <c r="AG29" i="1"/>
  <c r="BP29" i="1"/>
  <c r="AI29" i="1" s="1"/>
  <c r="AG32" i="1"/>
  <c r="BP39" i="1"/>
  <c r="AI39" i="1" s="1"/>
  <c r="BO39" i="1"/>
  <c r="AH39" i="1" s="1"/>
  <c r="AG39" i="1"/>
  <c r="AG30" i="1"/>
  <c r="BQ36" i="1"/>
  <c r="AJ36" i="1" s="1"/>
  <c r="BS29" i="1"/>
  <c r="AL29" i="1" s="1"/>
  <c r="BR29" i="1"/>
  <c r="AK29" i="1" s="1"/>
  <c r="BQ29" i="1"/>
  <c r="AJ29" i="1" s="1"/>
  <c r="BQ41" i="1"/>
  <c r="AJ41" i="1" s="1"/>
  <c r="BS41" i="1"/>
  <c r="AL41" i="1" s="1"/>
  <c r="BR41" i="1"/>
  <c r="AK41" i="1" s="1"/>
  <c r="BQ40" i="1"/>
  <c r="AJ40" i="1" s="1"/>
  <c r="BS37" i="1"/>
  <c r="AL37" i="1" s="1"/>
  <c r="BQ37" i="1"/>
  <c r="AJ37" i="1" s="1"/>
  <c r="BR37" i="1"/>
  <c r="AK37" i="1" s="1"/>
  <c r="BQ32" i="1"/>
  <c r="AJ32" i="1" s="1"/>
  <c r="BQ38" i="1"/>
  <c r="AJ38" i="1" s="1"/>
  <c r="BQ34" i="1"/>
  <c r="AJ34" i="1" s="1"/>
  <c r="BQ31" i="1"/>
  <c r="AJ31" i="1" s="1"/>
  <c r="BR31" i="1"/>
  <c r="AK31" i="1" s="1"/>
  <c r="BS31" i="1"/>
  <c r="AL31" i="1" s="1"/>
  <c r="BQ26" i="1"/>
  <c r="AJ26" i="1" s="1"/>
  <c r="BS35" i="1"/>
  <c r="AL35" i="1" s="1"/>
  <c r="BQ35" i="1"/>
  <c r="AJ35" i="1" s="1"/>
  <c r="BR35" i="1"/>
  <c r="AK35" i="1" s="1"/>
  <c r="BQ33" i="1"/>
  <c r="AJ33" i="1" s="1"/>
  <c r="BR33" i="1"/>
  <c r="AK33" i="1" s="1"/>
  <c r="BS33" i="1"/>
  <c r="AL33" i="1" s="1"/>
  <c r="BQ30" i="1"/>
  <c r="AJ30" i="1" s="1"/>
  <c r="BQ27" i="1"/>
  <c r="AJ27" i="1" s="1"/>
  <c r="BR27" i="1"/>
  <c r="AK27" i="1" s="1"/>
  <c r="BS27" i="1"/>
  <c r="AL27" i="1" s="1"/>
  <c r="BR39" i="1"/>
  <c r="AK39" i="1" s="1"/>
  <c r="BS39" i="1"/>
  <c r="AL39" i="1" s="1"/>
  <c r="BQ39" i="1"/>
  <c r="AJ39" i="1" s="1"/>
  <c r="BQ28" i="1"/>
  <c r="AJ28" i="1" s="1"/>
  <c r="BT40" i="1"/>
  <c r="AM40" i="1" s="1"/>
  <c r="BV39" i="1"/>
  <c r="AO39" i="1" s="1"/>
  <c r="BT39" i="1"/>
  <c r="AM39" i="1" s="1"/>
  <c r="BU39" i="1"/>
  <c r="AN39" i="1" s="1"/>
  <c r="BV33" i="1"/>
  <c r="AO33" i="1" s="1"/>
  <c r="BT33" i="1"/>
  <c r="AM33" i="1" s="1"/>
  <c r="BU33" i="1"/>
  <c r="AN33" i="1" s="1"/>
  <c r="BT30" i="1"/>
  <c r="AM30" i="1" s="1"/>
  <c r="BU37" i="1"/>
  <c r="AN37" i="1" s="1"/>
  <c r="BT37" i="1"/>
  <c r="AM37" i="1" s="1"/>
  <c r="BV37" i="1"/>
  <c r="AO37" i="1" s="1"/>
  <c r="BT38" i="1"/>
  <c r="AM38" i="1" s="1"/>
  <c r="BT34" i="1"/>
  <c r="AM34" i="1" s="1"/>
  <c r="BT32" i="1"/>
  <c r="AM32" i="1" s="1"/>
  <c r="BT29" i="1"/>
  <c r="AM29" i="1" s="1"/>
  <c r="BU29" i="1"/>
  <c r="AN29" i="1" s="1"/>
  <c r="BV29" i="1"/>
  <c r="AO29" i="1" s="1"/>
  <c r="BU27" i="1"/>
  <c r="AN27" i="1" s="1"/>
  <c r="BT27" i="1"/>
  <c r="AM27" i="1" s="1"/>
  <c r="BV27" i="1"/>
  <c r="AO27" i="1" s="1"/>
  <c r="BT36" i="1"/>
  <c r="AM36" i="1" s="1"/>
  <c r="BV31" i="1"/>
  <c r="AO31" i="1" s="1"/>
  <c r="BU31" i="1"/>
  <c r="AN31" i="1" s="1"/>
  <c r="BT31" i="1"/>
  <c r="AM31" i="1" s="1"/>
  <c r="BT28" i="1"/>
  <c r="AM28" i="1" s="1"/>
  <c r="BV35" i="1"/>
  <c r="AO35" i="1" s="1"/>
  <c r="BU35" i="1"/>
  <c r="AN35" i="1" s="1"/>
  <c r="BT35" i="1"/>
  <c r="AM35" i="1" s="1"/>
  <c r="BT41" i="1"/>
  <c r="AM41" i="1" s="1"/>
  <c r="BU41" i="1"/>
  <c r="AN41" i="1" s="1"/>
  <c r="BV41" i="1"/>
  <c r="AO41" i="1" s="1"/>
  <c r="BT26" i="1"/>
  <c r="AM26" i="1" s="1"/>
  <c r="BW40" i="1"/>
  <c r="AP40" i="1" s="1"/>
  <c r="BW39" i="1"/>
  <c r="AP39" i="1" s="1"/>
  <c r="BX39" i="1"/>
  <c r="AQ39" i="1" s="1"/>
  <c r="BY39" i="1"/>
  <c r="AR39" i="1" s="1"/>
  <c r="BW37" i="1"/>
  <c r="AP37" i="1" s="1"/>
  <c r="BY37" i="1"/>
  <c r="AR37" i="1" s="1"/>
  <c r="BX37" i="1"/>
  <c r="AQ37" i="1" s="1"/>
  <c r="BW36" i="1"/>
  <c r="AP36" i="1" s="1"/>
  <c r="BX31" i="1"/>
  <c r="AQ31" i="1" s="1"/>
  <c r="BY31" i="1"/>
  <c r="AR31" i="1" s="1"/>
  <c r="BW31" i="1"/>
  <c r="AP31" i="1" s="1"/>
  <c r="BW29" i="1"/>
  <c r="AP29" i="1" s="1"/>
  <c r="BX29" i="1"/>
  <c r="AQ29" i="1" s="1"/>
  <c r="BY29" i="1"/>
  <c r="AR29" i="1" s="1"/>
  <c r="BW28" i="1"/>
  <c r="AP28" i="1" s="1"/>
  <c r="BW27" i="1"/>
  <c r="AP27" i="1" s="1"/>
  <c r="BX27" i="1"/>
  <c r="AQ27" i="1" s="1"/>
  <c r="BY27" i="1"/>
  <c r="AR27" i="1" s="1"/>
  <c r="BY41" i="1"/>
  <c r="AR41" i="1" s="1"/>
  <c r="BX41" i="1"/>
  <c r="AQ41" i="1" s="1"/>
  <c r="BW41" i="1"/>
  <c r="AP41" i="1" s="1"/>
  <c r="BW34" i="1"/>
  <c r="AP34" i="1" s="1"/>
  <c r="BX33" i="1"/>
  <c r="AQ33" i="1" s="1"/>
  <c r="BY33" i="1"/>
  <c r="AR33" i="1" s="1"/>
  <c r="BW33" i="1"/>
  <c r="AP33" i="1" s="1"/>
  <c r="BW32" i="1"/>
  <c r="AP32" i="1" s="1"/>
  <c r="BW26" i="1"/>
  <c r="AP26" i="1" s="1"/>
  <c r="BW35" i="1"/>
  <c r="AP35" i="1" s="1"/>
  <c r="BX35" i="1"/>
  <c r="AQ35" i="1" s="1"/>
  <c r="BY35" i="1"/>
  <c r="AR35" i="1" s="1"/>
  <c r="BW30" i="1"/>
  <c r="AP30" i="1" s="1"/>
  <c r="BW38" i="1"/>
  <c r="AP38" i="1" s="1"/>
  <c r="CA41" i="1"/>
  <c r="AT41" i="1" s="1"/>
  <c r="BZ41" i="1"/>
  <c r="AS41" i="1" s="1"/>
  <c r="CB41" i="1"/>
  <c r="AU41" i="1" s="1"/>
  <c r="BZ38" i="1"/>
  <c r="AS38" i="1" s="1"/>
  <c r="CB33" i="1"/>
  <c r="AU33" i="1" s="1"/>
  <c r="CA33" i="1"/>
  <c r="AT33" i="1" s="1"/>
  <c r="BZ33" i="1"/>
  <c r="AS33" i="1" s="1"/>
  <c r="BZ31" i="1"/>
  <c r="AS31" i="1" s="1"/>
  <c r="CB31" i="1"/>
  <c r="AU31" i="1" s="1"/>
  <c r="CA31" i="1"/>
  <c r="AT31" i="1" s="1"/>
  <c r="BZ30" i="1"/>
  <c r="AS30" i="1" s="1"/>
  <c r="BZ26" i="1"/>
  <c r="AS26" i="1" s="1"/>
  <c r="BZ39" i="1"/>
  <c r="AS39" i="1" s="1"/>
  <c r="CA39" i="1"/>
  <c r="AT39" i="1" s="1"/>
  <c r="CB39" i="1"/>
  <c r="AU39" i="1" s="1"/>
  <c r="BZ28" i="1"/>
  <c r="AS28" i="1" s="1"/>
  <c r="BZ36" i="1"/>
  <c r="AS36" i="1" s="1"/>
  <c r="BZ34" i="1"/>
  <c r="AS34" i="1" s="1"/>
  <c r="CA29" i="1"/>
  <c r="AT29" i="1" s="1"/>
  <c r="BZ29" i="1"/>
  <c r="AS29" i="1" s="1"/>
  <c r="CB29" i="1"/>
  <c r="AU29" i="1" s="1"/>
  <c r="BZ40" i="1"/>
  <c r="AS40" i="1" s="1"/>
  <c r="CA37" i="1"/>
  <c r="AT37" i="1" s="1"/>
  <c r="BZ37" i="1"/>
  <c r="AS37" i="1" s="1"/>
  <c r="CB37" i="1"/>
  <c r="AU37" i="1" s="1"/>
  <c r="BZ32" i="1"/>
  <c r="AS32" i="1" s="1"/>
  <c r="BZ35" i="1"/>
  <c r="AS35" i="1" s="1"/>
  <c r="CA35" i="1"/>
  <c r="AT35" i="1" s="1"/>
  <c r="CA27" i="1"/>
  <c r="AT27" i="1" s="1"/>
  <c r="BZ27" i="1"/>
  <c r="AS27" i="1" s="1"/>
  <c r="CC40" i="1"/>
  <c r="AV40" i="1" s="1"/>
  <c r="CC38" i="1"/>
  <c r="AV38" i="1" s="1"/>
  <c r="CC36" i="1"/>
  <c r="AV36" i="1" s="1"/>
  <c r="CC35" i="1"/>
  <c r="AV35" i="1" s="1"/>
  <c r="CD35" i="1"/>
  <c r="AW35" i="1" s="1"/>
  <c r="CC34" i="1"/>
  <c r="AV34" i="1" s="1"/>
  <c r="CC32" i="1"/>
  <c r="AV32" i="1" s="1"/>
  <c r="CC28" i="1"/>
  <c r="AV28" i="1" s="1"/>
  <c r="CD37" i="1"/>
  <c r="AW37" i="1" s="1"/>
  <c r="CC37" i="1"/>
  <c r="AV37" i="1" s="1"/>
  <c r="CE37" i="1"/>
  <c r="AX37" i="1" s="1"/>
  <c r="CC33" i="1"/>
  <c r="AV33" i="1" s="1"/>
  <c r="CE33" i="1"/>
  <c r="AX33" i="1" s="1"/>
  <c r="CD33" i="1"/>
  <c r="AW33" i="1" s="1"/>
  <c r="CC30" i="1"/>
  <c r="AV30" i="1" s="1"/>
  <c r="CC27" i="1"/>
  <c r="AV27" i="1" s="1"/>
  <c r="CE27" i="1"/>
  <c r="AX27" i="1" s="1"/>
  <c r="CD27" i="1"/>
  <c r="AW27" i="1" s="1"/>
  <c r="CC41" i="1"/>
  <c r="AV41" i="1" s="1"/>
  <c r="CE41" i="1"/>
  <c r="AX41" i="1" s="1"/>
  <c r="CD41" i="1"/>
  <c r="AW41" i="1" s="1"/>
  <c r="CE31" i="1"/>
  <c r="AX31" i="1" s="1"/>
  <c r="CC31" i="1"/>
  <c r="AV31" i="1" s="1"/>
  <c r="CD31" i="1"/>
  <c r="AW31" i="1" s="1"/>
  <c r="CC26" i="1"/>
  <c r="AV26" i="1" s="1"/>
  <c r="CC39" i="1"/>
  <c r="AV39" i="1" s="1"/>
  <c r="CD39" i="1"/>
  <c r="AW39" i="1" s="1"/>
  <c r="CE39" i="1"/>
  <c r="AX39" i="1" s="1"/>
  <c r="CD29" i="1"/>
  <c r="AW29" i="1" s="1"/>
  <c r="CE29" i="1"/>
  <c r="AX29" i="1" s="1"/>
  <c r="CC29" i="1"/>
  <c r="AV29" i="1" s="1"/>
  <c r="O30" i="1"/>
  <c r="O41" i="1"/>
  <c r="O32" i="1"/>
  <c r="O40" i="1"/>
  <c r="O27" i="1"/>
  <c r="O28" i="1"/>
  <c r="O29" i="1"/>
  <c r="O33" i="1"/>
  <c r="O34" i="1"/>
  <c r="O35" i="1"/>
  <c r="O38" i="1"/>
  <c r="O39" i="1"/>
  <c r="O42" i="1"/>
  <c r="O43" i="1"/>
  <c r="O44" i="1"/>
  <c r="O45" i="1"/>
  <c r="O26" i="1"/>
  <c r="O46" i="1"/>
  <c r="O47" i="1"/>
  <c r="O48" i="1"/>
  <c r="O49" i="1"/>
  <c r="O50" i="1"/>
  <c r="O51" i="1"/>
  <c r="O52" i="1"/>
  <c r="O53" i="1"/>
  <c r="O54" i="1"/>
  <c r="O55" i="1"/>
  <c r="O56" i="1"/>
  <c r="O57" i="1"/>
  <c r="O31" i="1"/>
  <c r="O36" i="1"/>
  <c r="O37" i="1"/>
  <c r="D12" i="1"/>
  <c r="F12" i="1"/>
  <c r="D11" i="1"/>
  <c r="F11" i="1"/>
  <c r="F10" i="1"/>
  <c r="D10" i="1"/>
  <c r="EQ55" i="1"/>
  <c r="AY55" i="1"/>
  <c r="R55" i="1" s="1"/>
  <c r="AZ55" i="1"/>
  <c r="S55" i="1" s="1"/>
  <c r="EQ54" i="1"/>
  <c r="AY54" i="1"/>
  <c r="R54" i="1" s="1"/>
  <c r="AZ54" i="1"/>
  <c r="S54" i="1" s="1"/>
  <c r="EP53" i="1"/>
  <c r="AY53" i="1"/>
  <c r="R53" i="1" s="1"/>
  <c r="AZ53" i="1"/>
  <c r="S53" i="1" s="1"/>
  <c r="BA53" i="1"/>
  <c r="T53" i="1" s="1"/>
  <c r="EP52" i="1"/>
  <c r="AY52" i="1"/>
  <c r="R52" i="1" s="1"/>
  <c r="AZ52" i="1"/>
  <c r="S52" i="1" s="1"/>
  <c r="EP51" i="1"/>
  <c r="AY51" i="1"/>
  <c r="R51" i="1" s="1"/>
  <c r="AZ51" i="1"/>
  <c r="S51" i="1" s="1"/>
  <c r="BA51" i="1"/>
  <c r="T51" i="1" s="1"/>
  <c r="EP50" i="1"/>
  <c r="AY50" i="1"/>
  <c r="R50" i="1" s="1"/>
  <c r="AZ50" i="1"/>
  <c r="S50" i="1" s="1"/>
  <c r="EO49" i="1"/>
  <c r="AY49" i="1"/>
  <c r="R49" i="1" s="1"/>
  <c r="AZ49" i="1"/>
  <c r="S49" i="1" s="1"/>
  <c r="BA49" i="1"/>
  <c r="T49" i="1" s="1"/>
  <c r="EO48" i="1"/>
  <c r="AY48" i="1"/>
  <c r="R48" i="1" s="1"/>
  <c r="AZ48" i="1"/>
  <c r="S48" i="1" s="1"/>
  <c r="EO47" i="1"/>
  <c r="AY47" i="1"/>
  <c r="R47" i="1" s="1"/>
  <c r="AZ47" i="1"/>
  <c r="S47" i="1" s="1"/>
  <c r="BA47" i="1"/>
  <c r="T47" i="1" s="1"/>
  <c r="EO46" i="1"/>
  <c r="AY46" i="1"/>
  <c r="R46" i="1" s="1"/>
  <c r="AZ46" i="1"/>
  <c r="S46" i="1" s="1"/>
  <c r="AY45" i="1"/>
  <c r="R45" i="1" s="1"/>
  <c r="AZ45" i="1"/>
  <c r="S45" i="1" s="1"/>
  <c r="BA45" i="1"/>
  <c r="T45" i="1" s="1"/>
  <c r="EO45" i="1"/>
  <c r="EO44" i="1"/>
  <c r="AZ44" i="1"/>
  <c r="S44" i="1" s="1"/>
  <c r="AY44" i="1"/>
  <c r="R44" i="1" s="1"/>
  <c r="EO43" i="1"/>
  <c r="AZ43" i="1"/>
  <c r="S43" i="1" s="1"/>
  <c r="AY43" i="1"/>
  <c r="R43" i="1" s="1"/>
  <c r="BA43" i="1"/>
  <c r="T43" i="1" s="1"/>
  <c r="EO42" i="1"/>
  <c r="AY42" i="1"/>
  <c r="R42" i="1" s="1"/>
  <c r="AZ42" i="1"/>
  <c r="S42" i="1" s="1"/>
  <c r="AZ39" i="1"/>
  <c r="S39" i="1" s="1"/>
  <c r="BA39" i="1"/>
  <c r="T39" i="1" s="1"/>
  <c r="AY39" i="1"/>
  <c r="R39" i="1" s="1"/>
  <c r="EN39" i="1"/>
  <c r="EN29" i="1"/>
  <c r="AZ29" i="1"/>
  <c r="S29" i="1" s="1"/>
  <c r="BA29" i="1"/>
  <c r="T29" i="1" s="1"/>
  <c r="AY29" i="1"/>
  <c r="R29" i="1" s="1"/>
  <c r="EN37" i="1"/>
  <c r="AY37" i="1"/>
  <c r="R37" i="1" s="1"/>
  <c r="BA37" i="1"/>
  <c r="T37" i="1" s="1"/>
  <c r="AZ37" i="1"/>
  <c r="S37" i="1" s="1"/>
  <c r="AY33" i="1"/>
  <c r="R33" i="1" s="1"/>
  <c r="BA33" i="1"/>
  <c r="T33" i="1" s="1"/>
  <c r="EN33" i="1"/>
  <c r="AZ33" i="1"/>
  <c r="S33" i="1" s="1"/>
  <c r="AZ30" i="1"/>
  <c r="S30" i="1" s="1"/>
  <c r="EN30" i="1"/>
  <c r="AY30" i="1"/>
  <c r="R30" i="1" s="1"/>
  <c r="AZ38" i="1"/>
  <c r="S38" i="1" s="1"/>
  <c r="AY38" i="1"/>
  <c r="R38" i="1" s="1"/>
  <c r="EN38" i="1"/>
  <c r="EN34" i="1"/>
  <c r="AY34" i="1"/>
  <c r="R34" i="1" s="1"/>
  <c r="AZ34" i="1"/>
  <c r="S34" i="1" s="1"/>
  <c r="AY40" i="1"/>
  <c r="R40" i="1" s="1"/>
  <c r="AZ40" i="1"/>
  <c r="S40" i="1" s="1"/>
  <c r="EN40" i="1"/>
  <c r="AZ36" i="1"/>
  <c r="S36" i="1" s="1"/>
  <c r="AY36" i="1"/>
  <c r="R36" i="1" s="1"/>
  <c r="EN36" i="1"/>
  <c r="AZ32" i="1"/>
  <c r="S32" i="1" s="1"/>
  <c r="AY32" i="1"/>
  <c r="R32" i="1" s="1"/>
  <c r="EN32" i="1"/>
  <c r="AY26" i="1"/>
  <c r="R26" i="1" s="1"/>
  <c r="AZ26" i="1"/>
  <c r="S26" i="1" s="1"/>
  <c r="EN26" i="1"/>
  <c r="EN41" i="1"/>
  <c r="BA41" i="1"/>
  <c r="T41" i="1" s="1"/>
  <c r="AY41" i="1"/>
  <c r="R41" i="1" s="1"/>
  <c r="AZ41" i="1"/>
  <c r="S41" i="1" s="1"/>
  <c r="AZ35" i="1"/>
  <c r="S35" i="1" s="1"/>
  <c r="EN35" i="1"/>
  <c r="AY35" i="1"/>
  <c r="R35" i="1" s="1"/>
  <c r="BA35" i="1"/>
  <c r="T35" i="1" s="1"/>
  <c r="EN31" i="1"/>
  <c r="AY31" i="1"/>
  <c r="R31" i="1" s="1"/>
  <c r="BA31" i="1"/>
  <c r="T31" i="1" s="1"/>
  <c r="AZ31" i="1"/>
  <c r="S31" i="1" s="1"/>
  <c r="AY28" i="1"/>
  <c r="R28" i="1" s="1"/>
  <c r="AZ28" i="1"/>
  <c r="S28" i="1" s="1"/>
  <c r="EN28" i="1"/>
  <c r="EN27" i="1"/>
  <c r="AY27" i="1"/>
  <c r="R27" i="1" s="1"/>
  <c r="AZ27" i="1"/>
  <c r="S27" i="1" s="1"/>
  <c r="BA27" i="1"/>
  <c r="T27" i="1" s="1"/>
  <c r="ER42" i="1"/>
  <c r="ER36" i="1"/>
  <c r="ER34" i="1"/>
  <c r="ER30" i="1"/>
  <c r="ER26" i="1"/>
  <c r="ER40" i="1"/>
  <c r="ER28" i="1"/>
  <c r="ER32" i="1"/>
  <c r="ER38" i="1"/>
  <c r="ER54" i="1"/>
  <c r="ER52" i="1"/>
  <c r="ER50" i="1"/>
  <c r="ER48" i="1"/>
  <c r="ER46" i="1"/>
  <c r="ER44" i="1"/>
  <c r="Q53" i="1" l="1"/>
  <c r="Q43" i="1"/>
  <c r="Q45" i="1"/>
  <c r="Q49" i="1"/>
  <c r="Q47" i="1"/>
  <c r="Q41" i="1"/>
  <c r="Q37" i="1"/>
  <c r="Q33" i="1"/>
  <c r="Q29" i="1"/>
  <c r="BJ31" i="1"/>
  <c r="AC31" i="1" s="1"/>
  <c r="BG31" i="1"/>
  <c r="Z31" i="1" s="1"/>
  <c r="Q31" i="1" s="1"/>
  <c r="BM39" i="1"/>
  <c r="AF39" i="1" s="1"/>
  <c r="BG39" i="1"/>
  <c r="Z39" i="1" s="1"/>
  <c r="Q39" i="1" s="1"/>
  <c r="CB35" i="1"/>
  <c r="AU35" i="1" s="1"/>
  <c r="Q35" i="1" s="1"/>
  <c r="CE35" i="1"/>
  <c r="AX35" i="1" s="1"/>
  <c r="BJ27" i="1"/>
  <c r="AC27" i="1" s="1"/>
  <c r="BG27" i="1"/>
  <c r="Z27" i="1" s="1"/>
  <c r="Q27" i="1" s="1"/>
  <c r="CB27" i="1"/>
  <c r="AU27" i="1" s="1"/>
  <c r="J6" i="2"/>
  <c r="CB51" i="1"/>
  <c r="AU51" i="1" s="1"/>
  <c r="Q51" i="1" s="1"/>
  <c r="CE51" i="1"/>
  <c r="AX51" i="1" s="1"/>
  <c r="N4" i="2"/>
  <c r="N3" i="2"/>
  <c r="M10" i="2"/>
  <c r="N10" i="2" s="1"/>
  <c r="G10" i="1"/>
  <c r="CD36" i="1"/>
  <c r="AW36" i="1" s="1"/>
  <c r="CB36" i="1"/>
  <c r="AU36" i="1" s="1"/>
  <c r="CE36" i="1"/>
  <c r="AX36" i="1" s="1"/>
  <c r="CA36" i="1"/>
  <c r="AT36" i="1" s="1"/>
  <c r="CB34" i="1"/>
  <c r="AU34" i="1" s="1"/>
  <c r="CD34" i="1"/>
  <c r="AW34" i="1" s="1"/>
  <c r="CA34" i="1"/>
  <c r="AT34" i="1" s="1"/>
  <c r="CE34" i="1"/>
  <c r="AX34" i="1" s="1"/>
  <c r="CB30" i="1"/>
  <c r="AU30" i="1" s="1"/>
  <c r="CA30" i="1"/>
  <c r="AT30" i="1" s="1"/>
  <c r="CB26" i="1"/>
  <c r="AU26" i="1" s="1"/>
  <c r="CA26" i="1"/>
  <c r="AT26" i="1" s="1"/>
  <c r="CE40" i="1"/>
  <c r="AX40" i="1" s="1"/>
  <c r="CD40" i="1"/>
  <c r="AW40" i="1" s="1"/>
  <c r="CB40" i="1"/>
  <c r="AU40" i="1" s="1"/>
  <c r="CA40" i="1"/>
  <c r="AT40" i="1" s="1"/>
  <c r="CD28" i="1"/>
  <c r="AW28" i="1" s="1"/>
  <c r="CE28" i="1"/>
  <c r="AX28" i="1" s="1"/>
  <c r="CB28" i="1"/>
  <c r="AU28" i="1" s="1"/>
  <c r="CA28" i="1"/>
  <c r="AT28" i="1" s="1"/>
  <c r="CE32" i="1"/>
  <c r="AX32" i="1" s="1"/>
  <c r="CD32" i="1"/>
  <c r="AW32" i="1" s="1"/>
  <c r="CB32" i="1"/>
  <c r="AU32" i="1" s="1"/>
  <c r="CA32" i="1"/>
  <c r="AT32" i="1" s="1"/>
  <c r="CD38" i="1"/>
  <c r="AW38" i="1" s="1"/>
  <c r="CE38" i="1"/>
  <c r="AX38" i="1" s="1"/>
  <c r="CA38" i="1"/>
  <c r="AT38" i="1" s="1"/>
  <c r="BD55" i="1"/>
  <c r="W55" i="1" s="1"/>
  <c r="Q55" i="1" s="1"/>
  <c r="BG55" i="1"/>
  <c r="Z55" i="1" s="1"/>
  <c r="BJ55" i="1"/>
  <c r="AC55" i="1" s="1"/>
  <c r="BM55" i="1"/>
  <c r="AF55" i="1" s="1"/>
  <c r="BP55" i="1"/>
  <c r="AI55" i="1" s="1"/>
  <c r="BS55" i="1"/>
  <c r="AL55" i="1" s="1"/>
  <c r="BV55" i="1"/>
  <c r="AO55" i="1" s="1"/>
  <c r="BY55" i="1"/>
  <c r="AR55" i="1" s="1"/>
  <c r="CB55" i="1"/>
  <c r="AU55" i="1" s="1"/>
  <c r="CE55" i="1"/>
  <c r="AX55" i="1" s="1"/>
  <c r="BJ54" i="1"/>
  <c r="AC54" i="1" s="1"/>
  <c r="BM54" i="1"/>
  <c r="AF54" i="1" s="1"/>
  <c r="BP54" i="1"/>
  <c r="AI54" i="1" s="1"/>
  <c r="BS54" i="1"/>
  <c r="AL54" i="1" s="1"/>
  <c r="BV54" i="1"/>
  <c r="AO54" i="1" s="1"/>
  <c r="BY54" i="1"/>
  <c r="AR54" i="1" s="1"/>
  <c r="CB54" i="1"/>
  <c r="AU54" i="1" s="1"/>
  <c r="CE54" i="1"/>
  <c r="AX54" i="1" s="1"/>
  <c r="BD54" i="1"/>
  <c r="W54" i="1" s="1"/>
  <c r="BG54" i="1"/>
  <c r="Z54" i="1" s="1"/>
  <c r="BO42" i="1"/>
  <c r="AH42" i="1" s="1"/>
  <c r="BR42" i="1"/>
  <c r="AK42" i="1" s="1"/>
  <c r="BM42" i="1"/>
  <c r="AF42" i="1" s="1"/>
  <c r="BA42" i="1"/>
  <c r="T42" i="1" s="1"/>
  <c r="Q42" i="1" s="1"/>
  <c r="BG42" i="1"/>
  <c r="Z42" i="1" s="1"/>
  <c r="BF42" i="1"/>
  <c r="Y42" i="1" s="1"/>
  <c r="BC42" i="1"/>
  <c r="V42" i="1" s="1"/>
  <c r="BI42" i="1"/>
  <c r="AB42" i="1" s="1"/>
  <c r="BJ42" i="1"/>
  <c r="AC42" i="1" s="1"/>
  <c r="BL42" i="1"/>
  <c r="AE42" i="1" s="1"/>
  <c r="CE42" i="1"/>
  <c r="AX42" i="1" s="1"/>
  <c r="CB42" i="1"/>
  <c r="AU42" i="1" s="1"/>
  <c r="BD42" i="1"/>
  <c r="W42" i="1" s="1"/>
  <c r="CD42" i="1"/>
  <c r="AW42" i="1" s="1"/>
  <c r="BY42" i="1"/>
  <c r="AR42" i="1" s="1"/>
  <c r="BS42" i="1"/>
  <c r="AL42" i="1" s="1"/>
  <c r="BX42" i="1"/>
  <c r="AQ42" i="1" s="1"/>
  <c r="BV42" i="1"/>
  <c r="AO42" i="1" s="1"/>
  <c r="BP42" i="1"/>
  <c r="AI42" i="1" s="1"/>
  <c r="BU42" i="1"/>
  <c r="AN42" i="1" s="1"/>
  <c r="CA42" i="1"/>
  <c r="AT42" i="1" s="1"/>
  <c r="BR36" i="1"/>
  <c r="AK36" i="1" s="1"/>
  <c r="BJ36" i="1"/>
  <c r="AC36" i="1" s="1"/>
  <c r="BI36" i="1"/>
  <c r="AB36" i="1" s="1"/>
  <c r="BL36" i="1"/>
  <c r="AE36" i="1" s="1"/>
  <c r="BS36" i="1"/>
  <c r="AL36" i="1" s="1"/>
  <c r="BX36" i="1"/>
  <c r="AQ36" i="1" s="1"/>
  <c r="BC36" i="1"/>
  <c r="V36" i="1" s="1"/>
  <c r="BO36" i="1"/>
  <c r="AH36" i="1" s="1"/>
  <c r="BA36" i="1"/>
  <c r="T36" i="1" s="1"/>
  <c r="Q36" i="1" s="1"/>
  <c r="BD36" i="1"/>
  <c r="W36" i="1" s="1"/>
  <c r="BY36" i="1"/>
  <c r="AR36" i="1" s="1"/>
  <c r="BV36" i="1"/>
  <c r="AO36" i="1" s="1"/>
  <c r="BP36" i="1"/>
  <c r="AI36" i="1" s="1"/>
  <c r="BU36" i="1"/>
  <c r="AN36" i="1" s="1"/>
  <c r="BG36" i="1"/>
  <c r="Z36" i="1" s="1"/>
  <c r="BF36" i="1"/>
  <c r="Y36" i="1" s="1"/>
  <c r="BM36" i="1"/>
  <c r="AF36" i="1" s="1"/>
  <c r="BF34" i="1"/>
  <c r="Y34" i="1" s="1"/>
  <c r="BU34" i="1"/>
  <c r="AN34" i="1" s="1"/>
  <c r="BX34" i="1"/>
  <c r="AQ34" i="1" s="1"/>
  <c r="BM34" i="1"/>
  <c r="AF34" i="1" s="1"/>
  <c r="BI34" i="1"/>
  <c r="AB34" i="1" s="1"/>
  <c r="BJ34" i="1"/>
  <c r="AC34" i="1" s="1"/>
  <c r="BL34" i="1"/>
  <c r="AE34" i="1" s="1"/>
  <c r="BC34" i="1"/>
  <c r="V34" i="1" s="1"/>
  <c r="BY34" i="1"/>
  <c r="AR34" i="1" s="1"/>
  <c r="BR34" i="1"/>
  <c r="AK34" i="1" s="1"/>
  <c r="BD34" i="1"/>
  <c r="W34" i="1" s="1"/>
  <c r="BS34" i="1"/>
  <c r="AL34" i="1" s="1"/>
  <c r="BA34" i="1"/>
  <c r="T34" i="1" s="1"/>
  <c r="Q34" i="1" s="1"/>
  <c r="BO34" i="1"/>
  <c r="AH34" i="1" s="1"/>
  <c r="BP34" i="1"/>
  <c r="AI34" i="1" s="1"/>
  <c r="BV34" i="1"/>
  <c r="AO34" i="1" s="1"/>
  <c r="BG34" i="1"/>
  <c r="Z34" i="1" s="1"/>
  <c r="BG30" i="1"/>
  <c r="Z30" i="1" s="1"/>
  <c r="BY30" i="1"/>
  <c r="AR30" i="1" s="1"/>
  <c r="BP30" i="1"/>
  <c r="AI30" i="1" s="1"/>
  <c r="BD30" i="1"/>
  <c r="W30" i="1" s="1"/>
  <c r="BU30" i="1"/>
  <c r="AN30" i="1" s="1"/>
  <c r="BJ30" i="1"/>
  <c r="AC30" i="1" s="1"/>
  <c r="BC30" i="1"/>
  <c r="V30" i="1" s="1"/>
  <c r="CD30" i="1"/>
  <c r="AW30" i="1" s="1"/>
  <c r="BV30" i="1"/>
  <c r="AO30" i="1" s="1"/>
  <c r="BL30" i="1"/>
  <c r="AE30" i="1" s="1"/>
  <c r="BX30" i="1"/>
  <c r="AQ30" i="1" s="1"/>
  <c r="BO30" i="1"/>
  <c r="AH30" i="1" s="1"/>
  <c r="BA30" i="1"/>
  <c r="T30" i="1" s="1"/>
  <c r="Q30" i="1" s="1"/>
  <c r="BI30" i="1"/>
  <c r="AB30" i="1" s="1"/>
  <c r="BS30" i="1"/>
  <c r="AL30" i="1" s="1"/>
  <c r="BF30" i="1"/>
  <c r="Y30" i="1" s="1"/>
  <c r="BM30" i="1"/>
  <c r="AF30" i="1" s="1"/>
  <c r="BR30" i="1"/>
  <c r="AK30" i="1" s="1"/>
  <c r="CE30" i="1"/>
  <c r="AX30" i="1" s="1"/>
  <c r="BA26" i="1"/>
  <c r="T26" i="1" s="1"/>
  <c r="Q26" i="1" s="1"/>
  <c r="BY26" i="1"/>
  <c r="AR26" i="1" s="1"/>
  <c r="BV26" i="1"/>
  <c r="AO26" i="1" s="1"/>
  <c r="BR26" i="1"/>
  <c r="AK26" i="1" s="1"/>
  <c r="BS26" i="1"/>
  <c r="AL26" i="1" s="1"/>
  <c r="BP26" i="1"/>
  <c r="AI26" i="1" s="1"/>
  <c r="BL26" i="1"/>
  <c r="AE26" i="1" s="1"/>
  <c r="BJ26" i="1"/>
  <c r="AC26" i="1" s="1"/>
  <c r="BI26" i="1"/>
  <c r="AB26" i="1" s="1"/>
  <c r="CE26" i="1"/>
  <c r="AX26" i="1" s="1"/>
  <c r="BD26" i="1"/>
  <c r="W26" i="1" s="1"/>
  <c r="BU26" i="1"/>
  <c r="AN26" i="1" s="1"/>
  <c r="BO26" i="1"/>
  <c r="AH26" i="1" s="1"/>
  <c r="BM26" i="1"/>
  <c r="AF26" i="1" s="1"/>
  <c r="BF26" i="1"/>
  <c r="Y26" i="1" s="1"/>
  <c r="BG26" i="1"/>
  <c r="Z26" i="1" s="1"/>
  <c r="BX26" i="1"/>
  <c r="AQ26" i="1" s="1"/>
  <c r="BC26" i="1"/>
  <c r="V26" i="1" s="1"/>
  <c r="CD26" i="1"/>
  <c r="AW26" i="1" s="1"/>
  <c r="BP40" i="1"/>
  <c r="AI40" i="1" s="1"/>
  <c r="BR40" i="1"/>
  <c r="AK40" i="1" s="1"/>
  <c r="BF40" i="1"/>
  <c r="Y40" i="1" s="1"/>
  <c r="BY40" i="1"/>
  <c r="AR40" i="1" s="1"/>
  <c r="BD40" i="1"/>
  <c r="W40" i="1" s="1"/>
  <c r="BX40" i="1"/>
  <c r="AQ40" i="1" s="1"/>
  <c r="BC40" i="1"/>
  <c r="V40" i="1" s="1"/>
  <c r="BL40" i="1"/>
  <c r="AE40" i="1" s="1"/>
  <c r="BS40" i="1"/>
  <c r="AL40" i="1" s="1"/>
  <c r="BV40" i="1"/>
  <c r="AO40" i="1" s="1"/>
  <c r="BJ40" i="1"/>
  <c r="AC40" i="1" s="1"/>
  <c r="BU40" i="1"/>
  <c r="AN40" i="1" s="1"/>
  <c r="BA40" i="1"/>
  <c r="T40" i="1" s="1"/>
  <c r="Q40" i="1" s="1"/>
  <c r="BG40" i="1"/>
  <c r="Z40" i="1" s="1"/>
  <c r="BI40" i="1"/>
  <c r="AB40" i="1" s="1"/>
  <c r="BO40" i="1"/>
  <c r="AH40" i="1" s="1"/>
  <c r="BM40" i="1"/>
  <c r="AF40" i="1" s="1"/>
  <c r="BU28" i="1"/>
  <c r="AN28" i="1" s="1"/>
  <c r="BV28" i="1"/>
  <c r="AO28" i="1" s="1"/>
  <c r="BM28" i="1"/>
  <c r="AF28" i="1" s="1"/>
  <c r="BR28" i="1"/>
  <c r="AK28" i="1" s="1"/>
  <c r="BS28" i="1"/>
  <c r="AL28" i="1" s="1"/>
  <c r="BX28" i="1"/>
  <c r="AQ28" i="1" s="1"/>
  <c r="BY28" i="1"/>
  <c r="AR28" i="1" s="1"/>
  <c r="BC28" i="1"/>
  <c r="V28" i="1" s="1"/>
  <c r="BA28" i="1"/>
  <c r="T28" i="1" s="1"/>
  <c r="Q28" i="1" s="1"/>
  <c r="BO28" i="1"/>
  <c r="AH28" i="1" s="1"/>
  <c r="BP28" i="1"/>
  <c r="AI28" i="1" s="1"/>
  <c r="BJ28" i="1"/>
  <c r="AC28" i="1" s="1"/>
  <c r="BL28" i="1"/>
  <c r="AE28" i="1" s="1"/>
  <c r="BI28" i="1"/>
  <c r="AB28" i="1" s="1"/>
  <c r="BD28" i="1"/>
  <c r="W28" i="1" s="1"/>
  <c r="BG28" i="1"/>
  <c r="Z28" i="1" s="1"/>
  <c r="BF28" i="1"/>
  <c r="Y28" i="1" s="1"/>
  <c r="BX32" i="1"/>
  <c r="AQ32" i="1" s="1"/>
  <c r="BC32" i="1"/>
  <c r="V32" i="1" s="1"/>
  <c r="BS32" i="1"/>
  <c r="AL32" i="1" s="1"/>
  <c r="BV32" i="1"/>
  <c r="AO32" i="1" s="1"/>
  <c r="BD32" i="1"/>
  <c r="W32" i="1" s="1"/>
  <c r="BG32" i="1"/>
  <c r="Z32" i="1" s="1"/>
  <c r="BO32" i="1"/>
  <c r="AH32" i="1" s="1"/>
  <c r="BL32" i="1"/>
  <c r="AE32" i="1" s="1"/>
  <c r="BJ32" i="1"/>
  <c r="AC32" i="1" s="1"/>
  <c r="BF32" i="1"/>
  <c r="Y32" i="1" s="1"/>
  <c r="BU32" i="1"/>
  <c r="AN32" i="1" s="1"/>
  <c r="BR32" i="1"/>
  <c r="AK32" i="1" s="1"/>
  <c r="BM32" i="1"/>
  <c r="AF32" i="1" s="1"/>
  <c r="BI32" i="1"/>
  <c r="AB32" i="1" s="1"/>
  <c r="BP32" i="1"/>
  <c r="AI32" i="1" s="1"/>
  <c r="BY32" i="1"/>
  <c r="AR32" i="1" s="1"/>
  <c r="BA32" i="1"/>
  <c r="T32" i="1" s="1"/>
  <c r="Q32" i="1" s="1"/>
  <c r="BD38" i="1"/>
  <c r="W38" i="1" s="1"/>
  <c r="BX38" i="1"/>
  <c r="AQ38" i="1" s="1"/>
  <c r="BR38" i="1"/>
  <c r="AK38" i="1" s="1"/>
  <c r="BY38" i="1"/>
  <c r="AR38" i="1" s="1"/>
  <c r="BF38" i="1"/>
  <c r="Y38" i="1" s="1"/>
  <c r="BA38" i="1"/>
  <c r="T38" i="1" s="1"/>
  <c r="Q38" i="1" s="1"/>
  <c r="BU38" i="1"/>
  <c r="AN38" i="1" s="1"/>
  <c r="BO38" i="1"/>
  <c r="AH38" i="1" s="1"/>
  <c r="BI38" i="1"/>
  <c r="AB38" i="1" s="1"/>
  <c r="BL38" i="1"/>
  <c r="AE38" i="1" s="1"/>
  <c r="BM38" i="1"/>
  <c r="AF38" i="1" s="1"/>
  <c r="BP38" i="1"/>
  <c r="AI38" i="1" s="1"/>
  <c r="BG38" i="1"/>
  <c r="Z38" i="1" s="1"/>
  <c r="BJ38" i="1"/>
  <c r="AC38" i="1" s="1"/>
  <c r="CB38" i="1"/>
  <c r="AU38" i="1" s="1"/>
  <c r="BC38" i="1"/>
  <c r="V38" i="1" s="1"/>
  <c r="BV38" i="1"/>
  <c r="AO38" i="1" s="1"/>
  <c r="BS38" i="1"/>
  <c r="AL38" i="1" s="1"/>
  <c r="BA54" i="1"/>
  <c r="T54" i="1" s="1"/>
  <c r="Q54" i="1" s="1"/>
  <c r="BX54" i="1"/>
  <c r="AQ54" i="1" s="1"/>
  <c r="BC54" i="1"/>
  <c r="V54" i="1" s="1"/>
  <c r="BO54" i="1"/>
  <c r="AH54" i="1" s="1"/>
  <c r="CA54" i="1"/>
  <c r="AT54" i="1" s="1"/>
  <c r="CD54" i="1"/>
  <c r="AW54" i="1" s="1"/>
  <c r="BF54" i="1"/>
  <c r="Y54" i="1" s="1"/>
  <c r="BL54" i="1"/>
  <c r="AE54" i="1" s="1"/>
  <c r="BU54" i="1"/>
  <c r="AN54" i="1" s="1"/>
  <c r="BR54" i="1"/>
  <c r="AK54" i="1" s="1"/>
  <c r="BI54" i="1"/>
  <c r="AB54" i="1" s="1"/>
  <c r="BG52" i="1"/>
  <c r="Z52" i="1" s="1"/>
  <c r="BV52" i="1"/>
  <c r="AO52" i="1" s="1"/>
  <c r="CB52" i="1"/>
  <c r="AU52" i="1" s="1"/>
  <c r="BO52" i="1"/>
  <c r="AH52" i="1" s="1"/>
  <c r="BS52" i="1"/>
  <c r="AL52" i="1" s="1"/>
  <c r="BU52" i="1"/>
  <c r="AN52" i="1" s="1"/>
  <c r="BX52" i="1"/>
  <c r="AQ52" i="1" s="1"/>
  <c r="BC52" i="1"/>
  <c r="V52" i="1" s="1"/>
  <c r="BL52" i="1"/>
  <c r="AE52" i="1" s="1"/>
  <c r="BR52" i="1"/>
  <c r="AK52" i="1" s="1"/>
  <c r="CE52" i="1"/>
  <c r="AX52" i="1" s="1"/>
  <c r="CD52" i="1"/>
  <c r="AW52" i="1" s="1"/>
  <c r="BI52" i="1"/>
  <c r="AB52" i="1" s="1"/>
  <c r="BF52" i="1"/>
  <c r="Y52" i="1" s="1"/>
  <c r="BJ52" i="1"/>
  <c r="AC52" i="1" s="1"/>
  <c r="BD52" i="1"/>
  <c r="W52" i="1" s="1"/>
  <c r="BM52" i="1"/>
  <c r="AF52" i="1" s="1"/>
  <c r="BA52" i="1"/>
  <c r="T52" i="1" s="1"/>
  <c r="Q52" i="1" s="1"/>
  <c r="BY52" i="1"/>
  <c r="AR52" i="1" s="1"/>
  <c r="BP52" i="1"/>
  <c r="AI52" i="1" s="1"/>
  <c r="CA52" i="1"/>
  <c r="AT52" i="1" s="1"/>
  <c r="BL50" i="1"/>
  <c r="AE50" i="1" s="1"/>
  <c r="BC50" i="1"/>
  <c r="V50" i="1" s="1"/>
  <c r="BJ50" i="1"/>
  <c r="AC50" i="1" s="1"/>
  <c r="BV50" i="1"/>
  <c r="AO50" i="1" s="1"/>
  <c r="BP50" i="1"/>
  <c r="AI50" i="1" s="1"/>
  <c r="CD50" i="1"/>
  <c r="AW50" i="1" s="1"/>
  <c r="BR50" i="1"/>
  <c r="AK50" i="1" s="1"/>
  <c r="BA50" i="1"/>
  <c r="T50" i="1" s="1"/>
  <c r="Q50" i="1" s="1"/>
  <c r="BO50" i="1"/>
  <c r="AH50" i="1" s="1"/>
  <c r="CE50" i="1"/>
  <c r="AX50" i="1" s="1"/>
  <c r="BG50" i="1"/>
  <c r="Z50" i="1" s="1"/>
  <c r="BY50" i="1"/>
  <c r="AR50" i="1" s="1"/>
  <c r="BI50" i="1"/>
  <c r="AB50" i="1" s="1"/>
  <c r="BD50" i="1"/>
  <c r="W50" i="1" s="1"/>
  <c r="CB50" i="1"/>
  <c r="AU50" i="1" s="1"/>
  <c r="BU50" i="1"/>
  <c r="AN50" i="1" s="1"/>
  <c r="BF50" i="1"/>
  <c r="Y50" i="1" s="1"/>
  <c r="BM50" i="1"/>
  <c r="AF50" i="1" s="1"/>
  <c r="BS50" i="1"/>
  <c r="AL50" i="1" s="1"/>
  <c r="BX50" i="1"/>
  <c r="AQ50" i="1" s="1"/>
  <c r="CA50" i="1"/>
  <c r="AT50" i="1" s="1"/>
  <c r="BX48" i="1"/>
  <c r="AQ48" i="1" s="1"/>
  <c r="BM48" i="1"/>
  <c r="AF48" i="1" s="1"/>
  <c r="CD48" i="1"/>
  <c r="AW48" i="1" s="1"/>
  <c r="BV48" i="1"/>
  <c r="AO48" i="1" s="1"/>
  <c r="BJ48" i="1"/>
  <c r="AC48" i="1" s="1"/>
  <c r="BD48" i="1"/>
  <c r="W48" i="1" s="1"/>
  <c r="BI48" i="1"/>
  <c r="AB48" i="1" s="1"/>
  <c r="BU48" i="1"/>
  <c r="AN48" i="1" s="1"/>
  <c r="BA48" i="1"/>
  <c r="T48" i="1" s="1"/>
  <c r="Q48" i="1" s="1"/>
  <c r="BO48" i="1"/>
  <c r="AH48" i="1" s="1"/>
  <c r="BR48" i="1"/>
  <c r="AK48" i="1" s="1"/>
  <c r="BS48" i="1"/>
  <c r="AL48" i="1" s="1"/>
  <c r="BP48" i="1"/>
  <c r="AI48" i="1" s="1"/>
  <c r="CE48" i="1"/>
  <c r="AX48" i="1" s="1"/>
  <c r="BY48" i="1"/>
  <c r="AR48" i="1" s="1"/>
  <c r="CB48" i="1"/>
  <c r="AU48" i="1" s="1"/>
  <c r="CA48" i="1"/>
  <c r="AT48" i="1" s="1"/>
  <c r="BF48" i="1"/>
  <c r="Y48" i="1" s="1"/>
  <c r="BG48" i="1"/>
  <c r="Z48" i="1" s="1"/>
  <c r="BL48" i="1"/>
  <c r="AE48" i="1" s="1"/>
  <c r="BC48" i="1"/>
  <c r="V48" i="1" s="1"/>
  <c r="BC46" i="1"/>
  <c r="V46" i="1" s="1"/>
  <c r="BP46" i="1"/>
  <c r="AI46" i="1" s="1"/>
  <c r="BJ46" i="1"/>
  <c r="AC46" i="1" s="1"/>
  <c r="BL46" i="1"/>
  <c r="AE46" i="1" s="1"/>
  <c r="BX46" i="1"/>
  <c r="AQ46" i="1" s="1"/>
  <c r="BI46" i="1"/>
  <c r="AB46" i="1" s="1"/>
  <c r="BF46" i="1"/>
  <c r="Y46" i="1" s="1"/>
  <c r="CE46" i="1"/>
  <c r="AX46" i="1" s="1"/>
  <c r="BG46" i="1"/>
  <c r="Z46" i="1" s="1"/>
  <c r="BY46" i="1"/>
  <c r="AR46" i="1" s="1"/>
  <c r="CA46" i="1"/>
  <c r="AT46" i="1" s="1"/>
  <c r="BV46" i="1"/>
  <c r="AO46" i="1" s="1"/>
  <c r="BR46" i="1"/>
  <c r="AK46" i="1" s="1"/>
  <c r="BS46" i="1"/>
  <c r="AL46" i="1" s="1"/>
  <c r="BM46" i="1"/>
  <c r="AF46" i="1" s="1"/>
  <c r="CD46" i="1"/>
  <c r="AW46" i="1" s="1"/>
  <c r="BU46" i="1"/>
  <c r="AN46" i="1" s="1"/>
  <c r="BA46" i="1"/>
  <c r="T46" i="1" s="1"/>
  <c r="Q46" i="1" s="1"/>
  <c r="BO46" i="1"/>
  <c r="AH46" i="1" s="1"/>
  <c r="CB46" i="1"/>
  <c r="AU46" i="1" s="1"/>
  <c r="BD46" i="1"/>
  <c r="W46" i="1" s="1"/>
  <c r="BM44" i="1"/>
  <c r="AF44" i="1" s="1"/>
  <c r="BF44" i="1"/>
  <c r="Y44" i="1" s="1"/>
  <c r="BI44" i="1"/>
  <c r="AB44" i="1" s="1"/>
  <c r="BJ44" i="1"/>
  <c r="AC44" i="1" s="1"/>
  <c r="BO44" i="1"/>
  <c r="AH44" i="1" s="1"/>
  <c r="BC44" i="1"/>
  <c r="V44" i="1" s="1"/>
  <c r="BS44" i="1"/>
  <c r="AL44" i="1" s="1"/>
  <c r="BL44" i="1"/>
  <c r="AE44" i="1" s="1"/>
  <c r="CB44" i="1"/>
  <c r="AU44" i="1" s="1"/>
  <c r="BR44" i="1"/>
  <c r="AK44" i="1" s="1"/>
  <c r="BV44" i="1"/>
  <c r="AO44" i="1" s="1"/>
  <c r="BP44" i="1"/>
  <c r="AI44" i="1" s="1"/>
  <c r="BA44" i="1"/>
  <c r="T44" i="1" s="1"/>
  <c r="Q44" i="1" s="1"/>
  <c r="BG44" i="1"/>
  <c r="Z44" i="1" s="1"/>
  <c r="BD44" i="1"/>
  <c r="W44" i="1" s="1"/>
  <c r="CD44" i="1"/>
  <c r="AW44" i="1" s="1"/>
  <c r="CA44" i="1"/>
  <c r="AT44" i="1" s="1"/>
  <c r="BU44" i="1"/>
  <c r="AN44" i="1" s="1"/>
  <c r="BY44" i="1"/>
  <c r="AR44" i="1" s="1"/>
  <c r="CE44" i="1"/>
  <c r="AX44" i="1" s="1"/>
  <c r="BX44" i="1"/>
  <c r="AQ44" i="1" s="1"/>
  <c r="Q22" i="1" l="1"/>
  <c r="K56" i="2"/>
  <c r="K55" i="2"/>
  <c r="L56" i="2"/>
  <c r="L55" i="2"/>
  <c r="J56" i="2"/>
  <c r="J55" i="2"/>
  <c r="N5" i="2"/>
  <c r="M11" i="2"/>
  <c r="N11" i="2" s="1"/>
  <c r="M13" i="2"/>
  <c r="N13" i="2" s="1"/>
  <c r="M8" i="2"/>
  <c r="N8" i="2" s="1"/>
  <c r="M14" i="2"/>
  <c r="N14" i="2" s="1"/>
  <c r="M12" i="2"/>
  <c r="N12" i="2" s="1"/>
  <c r="M9" i="2"/>
  <c r="N9" i="2" s="1"/>
  <c r="C5" i="1"/>
  <c r="K51" i="2" l="1"/>
  <c r="K52" i="2"/>
  <c r="L51" i="2"/>
  <c r="L52" i="2"/>
  <c r="J51" i="2"/>
  <c r="J52" i="2"/>
  <c r="K53" i="2"/>
  <c r="K54" i="2"/>
  <c r="L54" i="2"/>
  <c r="L53" i="2"/>
  <c r="J54" i="2"/>
  <c r="J53" i="2"/>
  <c r="N59" i="2"/>
  <c r="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<sst xmlns="http://schemas.openxmlformats.org/spreadsheetml/2006/main" count="375" uniqueCount="180">
  <si>
    <t>RTP of set</t>
  </si>
  <si>
    <t>Multipliers When Green Loses</t>
  </si>
  <si>
    <t xml:space="preserve"> Green Reel Strips</t>
  </si>
  <si>
    <t>Multipliers</t>
  </si>
  <si>
    <t>Weight</t>
  </si>
  <si>
    <t>P(X)</t>
  </si>
  <si>
    <t>Wild</t>
  </si>
  <si>
    <t>Symbol</t>
  </si>
  <si>
    <t>Reel 1</t>
  </si>
  <si>
    <t>Reel 2</t>
  </si>
  <si>
    <t>Reel 3</t>
  </si>
  <si>
    <t>Reel 4</t>
  </si>
  <si>
    <t>Reel 5</t>
  </si>
  <si>
    <t>RTP</t>
  </si>
  <si>
    <t>Green Loses</t>
  </si>
  <si>
    <t>T1</t>
  </si>
  <si>
    <t>T2</t>
  </si>
  <si>
    <t>T3</t>
  </si>
  <si>
    <t>Scatter Activations</t>
  </si>
  <si>
    <t>T4</t>
  </si>
  <si>
    <t>Scatters</t>
  </si>
  <si>
    <t>Probability</t>
  </si>
  <si>
    <t>Freq</t>
  </si>
  <si>
    <t>Average Return</t>
  </si>
  <si>
    <t>T5</t>
  </si>
  <si>
    <t>A</t>
  </si>
  <si>
    <t>K</t>
  </si>
  <si>
    <t>Q</t>
  </si>
  <si>
    <t>J</t>
  </si>
  <si>
    <t>10</t>
  </si>
  <si>
    <t>Scatter</t>
  </si>
  <si>
    <t>Wild Banner</t>
  </si>
  <si>
    <t>Total</t>
  </si>
  <si>
    <t>Wild Banners</t>
  </si>
  <si>
    <t>Possible Wild Banner States</t>
  </si>
  <si>
    <t>Table 5: Return</t>
  </si>
  <si>
    <t>Win Occurance</t>
  </si>
  <si>
    <t>Removal of Symbols IFF Banner Wild Is On That Reel</t>
  </si>
  <si>
    <t>Total Symbol Counts on Reels</t>
  </si>
  <si>
    <t>Index</t>
  </si>
  <si>
    <t>Total Wild Banners</t>
  </si>
  <si>
    <t>RTP of Index</t>
  </si>
  <si>
    <t>5x Wild</t>
  </si>
  <si>
    <t>4x Wild</t>
  </si>
  <si>
    <t>3x Wild</t>
  </si>
  <si>
    <t>5x T1</t>
  </si>
  <si>
    <t>4x T1</t>
  </si>
  <si>
    <t>3x T1</t>
  </si>
  <si>
    <t>5x T2</t>
  </si>
  <si>
    <t>4x T2</t>
  </si>
  <si>
    <t>3x T2</t>
  </si>
  <si>
    <t>5x T3</t>
  </si>
  <si>
    <t>4x T3</t>
  </si>
  <si>
    <t>3x T3</t>
  </si>
  <si>
    <t>5x T4</t>
  </si>
  <si>
    <t>4x T4</t>
  </si>
  <si>
    <t>3x T4</t>
  </si>
  <si>
    <t>5x T5</t>
  </si>
  <si>
    <t>4x T5</t>
  </si>
  <si>
    <t>3x T5</t>
  </si>
  <si>
    <t>5x A</t>
  </si>
  <si>
    <t>4x A</t>
  </si>
  <si>
    <t>3x A</t>
  </si>
  <si>
    <t>5x K</t>
  </si>
  <si>
    <t>4x K</t>
  </si>
  <si>
    <t>3x K</t>
  </si>
  <si>
    <t>5x Q</t>
  </si>
  <si>
    <t>4x Q</t>
  </si>
  <si>
    <t>3x Q</t>
  </si>
  <si>
    <t>5x J</t>
  </si>
  <si>
    <t>4x J</t>
  </si>
  <si>
    <t>3x J</t>
  </si>
  <si>
    <t>5x 10</t>
  </si>
  <si>
    <t>4x 10</t>
  </si>
  <si>
    <t>3x 10</t>
  </si>
  <si>
    <t>Wilds</t>
  </si>
  <si>
    <t>Symbols</t>
  </si>
  <si>
    <t>5 in a row</t>
  </si>
  <si>
    <t>4 in a row</t>
  </si>
  <si>
    <t>3 in a row</t>
  </si>
  <si>
    <t>2 in a row</t>
  </si>
  <si>
    <t>Symbol Probability on Winline</t>
  </si>
  <si>
    <t>Loses</t>
  </si>
  <si>
    <t>Possible Scatter States</t>
  </si>
  <si>
    <t>Total Scatters</t>
  </si>
  <si>
    <t>4in a row</t>
  </si>
  <si>
    <t>Avg Colour Count</t>
  </si>
  <si>
    <t>%</t>
  </si>
  <si>
    <t>Total return</t>
  </si>
  <si>
    <t>Red</t>
  </si>
  <si>
    <t>Total Combinations</t>
  </si>
  <si>
    <t>Yellow</t>
  </si>
  <si>
    <t>Total Hits</t>
  </si>
  <si>
    <t>Blue</t>
  </si>
  <si>
    <t>% Chance</t>
  </si>
  <si>
    <t>E(Multi)</t>
  </si>
  <si>
    <t xml:space="preserve">Lines </t>
  </si>
  <si>
    <t>R</t>
  </si>
  <si>
    <t>Height</t>
  </si>
  <si>
    <t>Y</t>
  </si>
  <si>
    <t>Freegame Chance</t>
  </si>
  <si>
    <t>B</t>
  </si>
  <si>
    <t>Freegame Freq</t>
  </si>
  <si>
    <t>RY</t>
  </si>
  <si>
    <t>RB</t>
  </si>
  <si>
    <t>YB</t>
  </si>
  <si>
    <t>RYB</t>
  </si>
  <si>
    <t>Wild Overlap Occurances</t>
  </si>
  <si>
    <t>Occurances 1 Line</t>
  </si>
  <si>
    <t>5x</t>
  </si>
  <si>
    <t>4x</t>
  </si>
  <si>
    <t>3x</t>
  </si>
  <si>
    <t>5 Wilds</t>
  </si>
  <si>
    <t>4 Wilds</t>
  </si>
  <si>
    <t>3 Wilds</t>
  </si>
  <si>
    <t>Removal</t>
  </si>
  <si>
    <t>Return 1 Line</t>
  </si>
  <si>
    <t>Return 1 Line With Multi</t>
  </si>
  <si>
    <t>L1</t>
  </si>
  <si>
    <t>L2</t>
  </si>
  <si>
    <t>L3</t>
  </si>
  <si>
    <t>L4</t>
  </si>
  <si>
    <t>L5</t>
  </si>
  <si>
    <t>Others</t>
  </si>
  <si>
    <t>Occurances 15 Line</t>
  </si>
  <si>
    <t>Basegame</t>
  </si>
  <si>
    <t>value</t>
  </si>
  <si>
    <t>weight</t>
  </si>
  <si>
    <t>CHANCETABLE:BG-0-wildExpand-insertQuantity</t>
  </si>
  <si>
    <t>grid</t>
  </si>
  <si>
    <t>HEATMAP:BG-0-wildExpand-location{reelMax = 1}</t>
  </si>
  <si>
    <t>CHANCETABLE:BG-0-scatter-insertQuantity</t>
  </si>
  <si>
    <t>HEATMAP:BG-0-scatter-location{reelMax = 1}</t>
  </si>
  <si>
    <t>CHANCETABLE:BG-1-wildExpand-insertQuantity</t>
  </si>
  <si>
    <t>HEATMAP:BG-1-wildExpand-location{reelMax = 1}</t>
  </si>
  <si>
    <t>CHANCETABLE:BG-1-scatter-insertQuantity</t>
  </si>
  <si>
    <t>HEATMAP:BG-1-scatter-location{reelMax = 1}</t>
  </si>
  <si>
    <t>CHANCETABLE:BG-setSelection</t>
  </si>
  <si>
    <t>Freegame</t>
  </si>
  <si>
    <t>CHANCETABLE:FG-setSelection</t>
  </si>
  <si>
    <t>CHANCETABLE:FG-0-wildExpand-insertQuantity</t>
  </si>
  <si>
    <t>HEATMAP:FG-0-wildExpand-location{reelMax = 1}</t>
  </si>
  <si>
    <t>CHANCETABLE:FG-1-wildExpand-insertQuantity</t>
  </si>
  <si>
    <t>HEATMAP:FG-1-wildExpand-location{reelMax = 1}</t>
  </si>
  <si>
    <t>CHANCETABLE:FG-0-scatter-insertQuantity</t>
  </si>
  <si>
    <t>HEATMAP:FG-0-scatter-location{reelMax = 1}</t>
  </si>
  <si>
    <t>CHANCETABLE:FG-1-scatter-insertQuantity</t>
  </si>
  <si>
    <t>HEATMAP:FG-1-scatter-location{reelMax = 1}</t>
  </si>
  <si>
    <t>CHANCETABLE:FG-0-wildExpand-multiplier</t>
  </si>
  <si>
    <t>CHANCETABLE:FG-1-wildExpand-multiplier</t>
  </si>
  <si>
    <t>Symbol-ID</t>
  </si>
  <si>
    <t>Symbol-Name</t>
  </si>
  <si>
    <t>5oak</t>
  </si>
  <si>
    <t>4oak</t>
  </si>
  <si>
    <t>3oak</t>
  </si>
  <si>
    <t>BANNER</t>
  </si>
  <si>
    <t>SCATTER</t>
  </si>
  <si>
    <t>WILD</t>
  </si>
  <si>
    <t>PAYTABLE</t>
  </si>
  <si>
    <t>Game-Wide-Config</t>
  </si>
  <si>
    <t>5x5</t>
  </si>
  <si>
    <t>screen</t>
  </si>
  <si>
    <t>maxWin</t>
  </si>
  <si>
    <t>sym</t>
  </si>
  <si>
    <t>f(sym)</t>
  </si>
  <si>
    <t>REEL 1</t>
  </si>
  <si>
    <t>REEL 2</t>
  </si>
  <si>
    <t>REEL 3</t>
  </si>
  <si>
    <t>REEL 4</t>
  </si>
  <si>
    <t>REEL 5</t>
  </si>
  <si>
    <t>BG-0</t>
  </si>
  <si>
    <t>BG-1</t>
  </si>
  <si>
    <t>FG-0</t>
  </si>
  <si>
    <t>FG-1</t>
  </si>
  <si>
    <t>TYPE</t>
  </si>
  <si>
    <t>SIMPLE</t>
  </si>
  <si>
    <t>FEATURE</t>
  </si>
  <si>
    <t>MAP:SCATTER-FREEGAMES</t>
  </si>
  <si>
    <t>PAYLINES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</si>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</sst>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0%"/>
    <numFmt numFmtId="165" formatCode="_(* #,##0_);_(* \(#,##0\);_(* &quot;-&quot;??_);_(@_)"/>
    <numFmt numFmtId="166" formatCode="0.000%"/>
    <numFmt numFmtId="167" formatCode="0.0%"/>
    <numFmt numFmtId="168" formatCode="_(* #,##0.000_);_(* \(#,##0.000\);_(* &quot;-&quot;??_);_(@_)"/>
    <numFmt numFmtId="169" formatCode="_(* #,##0.00000_);_(* \(#,##0.00000\);_(* &quot;-&quot;??_);_(@_)"/>
    <numFmt numFmtId="170" formatCode="0.0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b/>
      <u/>
      <sz val="10"/>
      <color theme="0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u/>
      <sz val="8"/>
      <name val="Arial"/>
      <family val="2"/>
    </font>
    <font>
      <b/>
      <sz val="10"/>
      <name val="Arial"/>
      <family val="2"/>
    </font>
    <font>
      <b/>
      <u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8"/>
      <color rgb="FFFF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C586C0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39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6" fillId="0" borderId="4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0" xfId="0" applyFont="1"/>
    <xf numFmtId="0" fontId="3" fillId="2" borderId="4" xfId="0" applyFont="1" applyFill="1" applyBorder="1"/>
    <xf numFmtId="0" fontId="0" fillId="0" borderId="6" xfId="0" applyBorder="1"/>
    <xf numFmtId="0" fontId="4" fillId="0" borderId="6" xfId="0" applyFont="1" applyBorder="1"/>
    <xf numFmtId="0" fontId="4" fillId="0" borderId="7" xfId="0" applyFont="1" applyBorder="1"/>
    <xf numFmtId="0" fontId="0" fillId="0" borderId="5" xfId="0" applyBorder="1"/>
    <xf numFmtId="0" fontId="7" fillId="0" borderId="8" xfId="0" applyFont="1" applyBorder="1" applyAlignment="1">
      <alignment horizontal="left"/>
    </xf>
    <xf numFmtId="0" fontId="8" fillId="0" borderId="9" xfId="0" applyFont="1" applyBorder="1"/>
    <xf numFmtId="0" fontId="9" fillId="0" borderId="0" xfId="0" applyFont="1"/>
    <xf numFmtId="164" fontId="0" fillId="0" borderId="3" xfId="2" applyNumberFormat="1" applyFont="1" applyBorder="1"/>
    <xf numFmtId="2" fontId="0" fillId="0" borderId="3" xfId="2" applyNumberFormat="1" applyFont="1" applyBorder="1"/>
    <xf numFmtId="0" fontId="0" fillId="0" borderId="10" xfId="0" applyBorder="1"/>
    <xf numFmtId="0" fontId="4" fillId="0" borderId="10" xfId="0" applyFont="1" applyBorder="1"/>
    <xf numFmtId="0" fontId="4" fillId="0" borderId="11" xfId="0" applyFont="1" applyBorder="1"/>
    <xf numFmtId="0" fontId="0" fillId="0" borderId="12" xfId="0" applyBorder="1"/>
    <xf numFmtId="10" fontId="0" fillId="0" borderId="3" xfId="2" applyNumberFormat="1" applyFont="1" applyBorder="1"/>
    <xf numFmtId="0" fontId="3" fillId="2" borderId="14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5" xfId="0" applyFont="1" applyFill="1" applyBorder="1"/>
    <xf numFmtId="0" fontId="3" fillId="2" borderId="16" xfId="0" applyFont="1" applyFill="1" applyBorder="1"/>
    <xf numFmtId="0" fontId="0" fillId="0" borderId="17" xfId="0" applyBorder="1"/>
    <xf numFmtId="0" fontId="4" fillId="0" borderId="18" xfId="0" applyFont="1" applyBorder="1"/>
    <xf numFmtId="0" fontId="4" fillId="0" borderId="19" xfId="0" applyFont="1" applyBorder="1"/>
    <xf numFmtId="0" fontId="7" fillId="0" borderId="10" xfId="0" applyFont="1" applyBorder="1" applyAlignment="1">
      <alignment horizontal="left"/>
    </xf>
    <xf numFmtId="0" fontId="0" fillId="0" borderId="9" xfId="0" applyBorder="1"/>
    <xf numFmtId="0" fontId="0" fillId="0" borderId="20" xfId="0" applyBorder="1"/>
    <xf numFmtId="165" fontId="0" fillId="0" borderId="20" xfId="1" applyNumberFormat="1" applyFont="1" applyBorder="1"/>
    <xf numFmtId="0" fontId="9" fillId="0" borderId="21" xfId="0" applyFont="1" applyBorder="1"/>
    <xf numFmtId="0" fontId="0" fillId="0" borderId="22" xfId="0" applyBorder="1"/>
    <xf numFmtId="0" fontId="0" fillId="0" borderId="23" xfId="0" applyBorder="1"/>
    <xf numFmtId="165" fontId="0" fillId="0" borderId="23" xfId="1" applyNumberFormat="1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65" fontId="0" fillId="0" borderId="26" xfId="1" applyNumberFormat="1" applyFont="1" applyBorder="1"/>
    <xf numFmtId="0" fontId="0" fillId="0" borderId="27" xfId="0" applyBorder="1"/>
    <xf numFmtId="10" fontId="0" fillId="0" borderId="0" xfId="2" applyNumberFormat="1" applyFont="1"/>
    <xf numFmtId="0" fontId="9" fillId="4" borderId="28" xfId="0" applyFont="1" applyFill="1" applyBorder="1"/>
    <xf numFmtId="0" fontId="4" fillId="0" borderId="29" xfId="0" applyFont="1" applyBorder="1"/>
    <xf numFmtId="0" fontId="9" fillId="0" borderId="29" xfId="0" applyFont="1" applyBorder="1"/>
    <xf numFmtId="0" fontId="4" fillId="0" borderId="30" xfId="0" applyFont="1" applyBorder="1"/>
    <xf numFmtId="0" fontId="0" fillId="0" borderId="18" xfId="0" applyBorder="1"/>
    <xf numFmtId="0" fontId="9" fillId="4" borderId="22" xfId="0" applyFont="1" applyFill="1" applyBorder="1"/>
    <xf numFmtId="10" fontId="0" fillId="0" borderId="23" xfId="2" applyNumberFormat="1" applyFont="1" applyBorder="1"/>
    <xf numFmtId="10" fontId="0" fillId="0" borderId="23" xfId="2" applyNumberFormat="1" applyFont="1" applyFill="1" applyBorder="1"/>
    <xf numFmtId="0" fontId="9" fillId="4" borderId="25" xfId="0" applyFont="1" applyFill="1" applyBorder="1"/>
    <xf numFmtId="0" fontId="4" fillId="0" borderId="26" xfId="0" applyFont="1" applyBorder="1"/>
    <xf numFmtId="10" fontId="0" fillId="0" borderId="26" xfId="2" applyNumberFormat="1" applyFont="1" applyBorder="1"/>
    <xf numFmtId="10" fontId="0" fillId="0" borderId="26" xfId="2" applyNumberFormat="1" applyFont="1" applyFill="1" applyBorder="1"/>
    <xf numFmtId="0" fontId="9" fillId="0" borderId="31" xfId="0" applyFont="1" applyBorder="1"/>
    <xf numFmtId="0" fontId="9" fillId="0" borderId="32" xfId="0" applyFont="1" applyBorder="1"/>
    <xf numFmtId="0" fontId="7" fillId="0" borderId="4" xfId="0" applyFont="1" applyBorder="1" applyAlignment="1">
      <alignment horizontal="left"/>
    </xf>
    <xf numFmtId="0" fontId="9" fillId="0" borderId="14" xfId="0" applyFont="1" applyBorder="1"/>
    <xf numFmtId="0" fontId="9" fillId="0" borderId="4" xfId="0" applyFont="1" applyBorder="1"/>
    <xf numFmtId="0" fontId="9" fillId="4" borderId="4" xfId="0" applyFont="1" applyFill="1" applyBorder="1"/>
    <xf numFmtId="166" fontId="0" fillId="0" borderId="3" xfId="2" applyNumberFormat="1" applyFont="1" applyBorder="1"/>
    <xf numFmtId="0" fontId="9" fillId="4" borderId="18" xfId="0" applyFont="1" applyFill="1" applyBorder="1"/>
    <xf numFmtId="166" fontId="0" fillId="0" borderId="19" xfId="2" applyNumberFormat="1" applyFont="1" applyBorder="1"/>
    <xf numFmtId="0" fontId="0" fillId="0" borderId="0" xfId="0" applyAlignment="1">
      <alignment horizontal="center"/>
    </xf>
    <xf numFmtId="0" fontId="10" fillId="2" borderId="4" xfId="0" applyFont="1" applyFill="1" applyBorder="1"/>
    <xf numFmtId="0" fontId="10" fillId="2" borderId="10" xfId="0" applyFont="1" applyFill="1" applyBorder="1"/>
    <xf numFmtId="0" fontId="0" fillId="0" borderId="11" xfId="0" applyBorder="1"/>
    <xf numFmtId="0" fontId="10" fillId="2" borderId="18" xfId="0" applyFont="1" applyFill="1" applyBorder="1"/>
    <xf numFmtId="167" fontId="0" fillId="0" borderId="17" xfId="2" applyNumberFormat="1" applyFont="1" applyBorder="1"/>
    <xf numFmtId="167" fontId="0" fillId="0" borderId="33" xfId="2" applyNumberFormat="1" applyFont="1" applyBorder="1"/>
    <xf numFmtId="167" fontId="0" fillId="0" borderId="19" xfId="2" applyNumberFormat="1" applyFont="1" applyBorder="1"/>
    <xf numFmtId="0" fontId="3" fillId="0" borderId="0" xfId="0" applyFont="1" applyAlignment="1">
      <alignment wrapText="1"/>
    </xf>
    <xf numFmtId="0" fontId="4" fillId="0" borderId="12" xfId="0" applyFont="1" applyBorder="1"/>
    <xf numFmtId="0" fontId="11" fillId="0" borderId="0" xfId="0" applyFont="1" applyAlignment="1">
      <alignment horizontal="left"/>
    </xf>
    <xf numFmtId="0" fontId="3" fillId="2" borderId="1" xfId="0" applyFont="1" applyFill="1" applyBorder="1"/>
    <xf numFmtId="0" fontId="3" fillId="2" borderId="3" xfId="0" applyFont="1" applyFill="1" applyBorder="1"/>
    <xf numFmtId="0" fontId="3" fillId="2" borderId="2" xfId="0" applyFont="1" applyFill="1" applyBorder="1"/>
    <xf numFmtId="0" fontId="13" fillId="2" borderId="4" xfId="0" applyFont="1" applyFill="1" applyBorder="1" applyAlignment="1">
      <alignment horizontal="left"/>
    </xf>
    <xf numFmtId="0" fontId="13" fillId="2" borderId="15" xfId="0" applyFont="1" applyFill="1" applyBorder="1"/>
    <xf numFmtId="0" fontId="13" fillId="2" borderId="16" xfId="0" applyFont="1" applyFill="1" applyBorder="1"/>
    <xf numFmtId="0" fontId="12" fillId="0" borderId="12" xfId="0" applyFont="1" applyBorder="1"/>
    <xf numFmtId="0" fontId="9" fillId="0" borderId="28" xfId="0" applyFont="1" applyBorder="1"/>
    <xf numFmtId="0" fontId="9" fillId="0" borderId="30" xfId="0" applyFont="1" applyBorder="1"/>
    <xf numFmtId="0" fontId="9" fillId="0" borderId="23" xfId="0" applyFont="1" applyBorder="1"/>
    <xf numFmtId="0" fontId="9" fillId="0" borderId="34" xfId="0" applyFont="1" applyBorder="1"/>
    <xf numFmtId="0" fontId="9" fillId="0" borderId="36" xfId="0" applyFont="1" applyBorder="1"/>
    <xf numFmtId="0" fontId="9" fillId="0" borderId="24" xfId="0" applyFont="1" applyBorder="1"/>
    <xf numFmtId="0" fontId="8" fillId="0" borderId="29" xfId="0" applyFont="1" applyBorder="1"/>
    <xf numFmtId="0" fontId="8" fillId="0" borderId="28" xfId="0" applyFont="1" applyBorder="1"/>
    <xf numFmtId="0" fontId="8" fillId="0" borderId="35" xfId="0" applyFont="1" applyBorder="1"/>
    <xf numFmtId="0" fontId="9" fillId="0" borderId="1" xfId="0" applyFont="1" applyBorder="1"/>
    <xf numFmtId="0" fontId="14" fillId="2" borderId="8" xfId="0" applyFont="1" applyFill="1" applyBorder="1" applyAlignment="1">
      <alignment horizontal="left"/>
    </xf>
    <xf numFmtId="0" fontId="15" fillId="0" borderId="20" xfId="0" applyFont="1" applyBorder="1"/>
    <xf numFmtId="0" fontId="15" fillId="0" borderId="21" xfId="0" applyFont="1" applyBorder="1"/>
    <xf numFmtId="0" fontId="14" fillId="2" borderId="37" xfId="0" applyFont="1" applyFill="1" applyBorder="1" applyAlignment="1">
      <alignment horizontal="left"/>
    </xf>
    <xf numFmtId="0" fontId="15" fillId="0" borderId="23" xfId="0" applyFont="1" applyBorder="1"/>
    <xf numFmtId="0" fontId="15" fillId="0" borderId="24" xfId="0" applyFont="1" applyBorder="1"/>
    <xf numFmtId="0" fontId="12" fillId="0" borderId="17" xfId="0" applyFont="1" applyBorder="1"/>
    <xf numFmtId="0" fontId="0" fillId="0" borderId="33" xfId="0" applyBorder="1"/>
    <xf numFmtId="0" fontId="0" fillId="0" borderId="19" xfId="0" applyBorder="1"/>
    <xf numFmtId="0" fontId="9" fillId="0" borderId="15" xfId="0" applyFont="1" applyBorder="1"/>
    <xf numFmtId="0" fontId="9" fillId="0" borderId="16" xfId="0" applyFont="1" applyBorder="1"/>
    <xf numFmtId="0" fontId="9" fillId="0" borderId="26" xfId="0" applyFont="1" applyBorder="1"/>
    <xf numFmtId="0" fontId="9" fillId="0" borderId="38" xfId="0" applyFont="1" applyBorder="1"/>
    <xf numFmtId="0" fontId="9" fillId="0" borderId="39" xfId="0" applyFont="1" applyBorder="1"/>
    <xf numFmtId="0" fontId="9" fillId="0" borderId="27" xfId="0" applyFont="1" applyBorder="1"/>
    <xf numFmtId="168" fontId="0" fillId="0" borderId="6" xfId="1" applyNumberFormat="1" applyFont="1" applyBorder="1"/>
    <xf numFmtId="0" fontId="8" fillId="0" borderId="40" xfId="0" applyFont="1" applyBorder="1"/>
    <xf numFmtId="0" fontId="8" fillId="0" borderId="15" xfId="0" applyFont="1" applyBorder="1"/>
    <xf numFmtId="0" fontId="8" fillId="0" borderId="41" xfId="0" applyFont="1" applyBorder="1"/>
    <xf numFmtId="0" fontId="8" fillId="0" borderId="14" xfId="0" applyFont="1" applyBorder="1"/>
    <xf numFmtId="0" fontId="8" fillId="0" borderId="1" xfId="0" applyFont="1" applyBorder="1"/>
    <xf numFmtId="0" fontId="7" fillId="0" borderId="0" xfId="0" applyFont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0" fillId="2" borderId="12" xfId="0" applyFont="1" applyFill="1" applyBorder="1"/>
    <xf numFmtId="0" fontId="0" fillId="0" borderId="13" xfId="0" applyBorder="1"/>
    <xf numFmtId="0" fontId="0" fillId="0" borderId="7" xfId="0" applyBorder="1"/>
    <xf numFmtId="0" fontId="10" fillId="2" borderId="17" xfId="0" applyFont="1" applyFill="1" applyBorder="1"/>
    <xf numFmtId="0" fontId="12" fillId="0" borderId="0" xfId="0" applyFont="1"/>
    <xf numFmtId="0" fontId="13" fillId="2" borderId="23" xfId="3" applyFont="1" applyFill="1" applyBorder="1" applyAlignment="1">
      <alignment horizontal="left"/>
    </xf>
    <xf numFmtId="0" fontId="13" fillId="2" borderId="23" xfId="3" applyFont="1" applyFill="1" applyBorder="1"/>
    <xf numFmtId="0" fontId="4" fillId="0" borderId="0" xfId="3"/>
    <xf numFmtId="0" fontId="4" fillId="0" borderId="0" xfId="3" applyAlignment="1">
      <alignment horizontal="center"/>
    </xf>
    <xf numFmtId="0" fontId="4" fillId="0" borderId="0" xfId="3" applyAlignment="1">
      <alignment horizontal="left"/>
    </xf>
    <xf numFmtId="10" fontId="0" fillId="0" borderId="0" xfId="4" applyNumberFormat="1" applyFont="1" applyAlignment="1">
      <alignment horizontal="center"/>
    </xf>
    <xf numFmtId="0" fontId="14" fillId="2" borderId="23" xfId="3" applyFont="1" applyFill="1" applyBorder="1" applyAlignment="1">
      <alignment horizontal="left"/>
    </xf>
    <xf numFmtId="0" fontId="4" fillId="0" borderId="23" xfId="3" applyBorder="1"/>
    <xf numFmtId="0" fontId="14" fillId="2" borderId="6" xfId="3" applyFont="1" applyFill="1" applyBorder="1"/>
    <xf numFmtId="1" fontId="4" fillId="0" borderId="7" xfId="3" applyNumberFormat="1" applyBorder="1"/>
    <xf numFmtId="0" fontId="9" fillId="0" borderId="0" xfId="3" applyFont="1"/>
    <xf numFmtId="0" fontId="16" fillId="0" borderId="0" xfId="3" applyFont="1" applyAlignment="1">
      <alignment horizontal="left"/>
    </xf>
    <xf numFmtId="10" fontId="4" fillId="0" borderId="0" xfId="2" applyNumberFormat="1" applyFont="1" applyBorder="1"/>
    <xf numFmtId="0" fontId="3" fillId="2" borderId="10" xfId="3" applyFont="1" applyFill="1" applyBorder="1"/>
    <xf numFmtId="1" fontId="0" fillId="0" borderId="11" xfId="5" applyNumberFormat="1" applyFont="1" applyBorder="1"/>
    <xf numFmtId="1" fontId="4" fillId="0" borderId="11" xfId="3" applyNumberFormat="1" applyBorder="1"/>
    <xf numFmtId="0" fontId="3" fillId="2" borderId="18" xfId="3" applyFont="1" applyFill="1" applyBorder="1"/>
    <xf numFmtId="164" fontId="0" fillId="4" borderId="19" xfId="4" applyNumberFormat="1" applyFont="1" applyFill="1" applyBorder="1"/>
    <xf numFmtId="0" fontId="17" fillId="0" borderId="0" xfId="3" applyFont="1" applyAlignment="1">
      <alignment horizontal="left"/>
    </xf>
    <xf numFmtId="10" fontId="4" fillId="0" borderId="11" xfId="2" applyNumberFormat="1" applyFont="1" applyBorder="1"/>
    <xf numFmtId="43" fontId="0" fillId="0" borderId="19" xfId="1" applyFont="1" applyBorder="1"/>
    <xf numFmtId="0" fontId="3" fillId="0" borderId="0" xfId="3" applyFont="1"/>
    <xf numFmtId="43" fontId="0" fillId="0" borderId="0" xfId="1" applyFont="1" applyBorder="1"/>
    <xf numFmtId="0" fontId="14" fillId="0" borderId="0" xfId="3" applyFont="1" applyAlignment="1">
      <alignment horizontal="left"/>
    </xf>
    <xf numFmtId="0" fontId="0" fillId="0" borderId="0" xfId="5" applyNumberFormat="1" applyFont="1" applyFill="1" applyBorder="1"/>
    <xf numFmtId="168" fontId="4" fillId="0" borderId="0" xfId="1" applyNumberFormat="1" applyFont="1"/>
    <xf numFmtId="0" fontId="4" fillId="3" borderId="5" xfId="3" applyFill="1" applyBorder="1"/>
    <xf numFmtId="0" fontId="4" fillId="3" borderId="13" xfId="3" applyFill="1" applyBorder="1"/>
    <xf numFmtId="0" fontId="4" fillId="3" borderId="7" xfId="3" applyFill="1" applyBorder="1"/>
    <xf numFmtId="169" fontId="4" fillId="0" borderId="0" xfId="1" applyNumberFormat="1" applyFont="1"/>
    <xf numFmtId="170" fontId="4" fillId="0" borderId="0" xfId="2" applyNumberFormat="1" applyFont="1"/>
    <xf numFmtId="0" fontId="6" fillId="0" borderId="42" xfId="3" applyFont="1" applyBorder="1"/>
    <xf numFmtId="0" fontId="6" fillId="0" borderId="43" xfId="3" applyFont="1" applyBorder="1"/>
    <xf numFmtId="0" fontId="6" fillId="0" borderId="44" xfId="3" applyFont="1" applyBorder="1"/>
    <xf numFmtId="0" fontId="6" fillId="0" borderId="0" xfId="3" applyFont="1"/>
    <xf numFmtId="168" fontId="4" fillId="0" borderId="0" xfId="3" applyNumberFormat="1"/>
    <xf numFmtId="170" fontId="17" fillId="0" borderId="0" xfId="3" applyNumberFormat="1" applyFont="1" applyAlignment="1">
      <alignment horizontal="right"/>
    </xf>
    <xf numFmtId="0" fontId="7" fillId="0" borderId="28" xfId="3" applyFont="1" applyBorder="1" applyAlignment="1">
      <alignment horizontal="left"/>
    </xf>
    <xf numFmtId="0" fontId="7" fillId="0" borderId="22" xfId="3" applyFont="1" applyBorder="1" applyAlignment="1">
      <alignment horizontal="left"/>
    </xf>
    <xf numFmtId="0" fontId="7" fillId="0" borderId="45" xfId="3" applyFont="1" applyBorder="1" applyAlignment="1">
      <alignment horizontal="left"/>
    </xf>
    <xf numFmtId="0" fontId="7" fillId="0" borderId="25" xfId="3" applyFont="1" applyBorder="1" applyAlignment="1">
      <alignment horizontal="left"/>
    </xf>
    <xf numFmtId="0" fontId="9" fillId="0" borderId="23" xfId="3" applyFont="1" applyBorder="1"/>
    <xf numFmtId="0" fontId="9" fillId="0" borderId="24" xfId="3" applyFont="1" applyBorder="1"/>
    <xf numFmtId="0" fontId="4" fillId="0" borderId="26" xfId="3" applyBorder="1"/>
    <xf numFmtId="0" fontId="4" fillId="0" borderId="27" xfId="3" applyBorder="1"/>
    <xf numFmtId="0" fontId="7" fillId="0" borderId="46" xfId="3" applyFont="1" applyBorder="1"/>
    <xf numFmtId="0" fontId="9" fillId="0" borderId="47" xfId="3" applyFont="1" applyBorder="1"/>
    <xf numFmtId="0" fontId="9" fillId="0" borderId="48" xfId="3" applyFont="1" applyBorder="1"/>
    <xf numFmtId="0" fontId="4" fillId="3" borderId="1" xfId="3" applyFill="1" applyBorder="1"/>
    <xf numFmtId="0" fontId="4" fillId="3" borderId="2" xfId="3" applyFill="1" applyBorder="1"/>
    <xf numFmtId="0" fontId="4" fillId="3" borderId="3" xfId="3" applyFill="1" applyBorder="1"/>
    <xf numFmtId="0" fontId="4" fillId="5" borderId="4" xfId="3" applyFill="1" applyBorder="1"/>
    <xf numFmtId="0" fontId="4" fillId="5" borderId="1" xfId="3" applyFill="1" applyBorder="1"/>
    <xf numFmtId="0" fontId="4" fillId="5" borderId="2" xfId="3" applyFill="1" applyBorder="1"/>
    <xf numFmtId="0" fontId="4" fillId="5" borderId="7" xfId="3" applyFill="1" applyBorder="1"/>
    <xf numFmtId="0" fontId="4" fillId="5" borderId="3" xfId="3" applyFill="1" applyBorder="1"/>
    <xf numFmtId="0" fontId="6" fillId="0" borderId="14" xfId="3" applyFont="1" applyBorder="1"/>
    <xf numFmtId="0" fontId="6" fillId="0" borderId="15" xfId="3" applyFont="1" applyBorder="1"/>
    <xf numFmtId="0" fontId="6" fillId="0" borderId="16" xfId="3" applyFont="1" applyBorder="1"/>
    <xf numFmtId="0" fontId="6" fillId="0" borderId="18" xfId="3" applyFont="1" applyBorder="1"/>
    <xf numFmtId="0" fontId="6" fillId="0" borderId="33" xfId="3" applyFont="1" applyBorder="1"/>
    <xf numFmtId="0" fontId="6" fillId="0" borderId="49" xfId="3" applyFont="1" applyBorder="1"/>
    <xf numFmtId="0" fontId="6" fillId="0" borderId="50" xfId="3" applyFont="1" applyBorder="1"/>
    <xf numFmtId="0" fontId="7" fillId="0" borderId="9" xfId="3" applyFont="1" applyBorder="1" applyAlignment="1">
      <alignment horizontal="left"/>
    </xf>
    <xf numFmtId="0" fontId="9" fillId="0" borderId="20" xfId="3" applyFont="1" applyBorder="1"/>
    <xf numFmtId="0" fontId="9" fillId="0" borderId="21" xfId="3" applyFont="1" applyBorder="1"/>
    <xf numFmtId="0" fontId="7" fillId="0" borderId="8" xfId="3" applyFont="1" applyBorder="1" applyAlignment="1">
      <alignment horizontal="left"/>
    </xf>
    <xf numFmtId="0" fontId="7" fillId="0" borderId="18" xfId="3" applyFont="1" applyBorder="1" applyAlignment="1">
      <alignment horizontal="left"/>
    </xf>
    <xf numFmtId="0" fontId="9" fillId="0" borderId="51" xfId="3" applyFont="1" applyBorder="1"/>
    <xf numFmtId="0" fontId="9" fillId="0" borderId="52" xfId="3" applyFont="1" applyBorder="1"/>
    <xf numFmtId="0" fontId="9" fillId="0" borderId="36" xfId="3" applyFont="1" applyBorder="1"/>
    <xf numFmtId="0" fontId="9" fillId="0" borderId="37" xfId="3" applyFont="1" applyBorder="1"/>
    <xf numFmtId="0" fontId="9" fillId="0" borderId="26" xfId="3" applyFont="1" applyBorder="1"/>
    <xf numFmtId="0" fontId="9" fillId="0" borderId="39" xfId="3" applyFont="1" applyBorder="1"/>
    <xf numFmtId="0" fontId="9" fillId="0" borderId="53" xfId="3" applyFont="1" applyBorder="1"/>
    <xf numFmtId="0" fontId="9" fillId="0" borderId="49" xfId="3" applyFont="1" applyBorder="1"/>
    <xf numFmtId="0" fontId="9" fillId="0" borderId="54" xfId="3" applyFont="1" applyBorder="1"/>
    <xf numFmtId="0" fontId="7" fillId="0" borderId="0" xfId="3" applyFont="1" applyAlignment="1">
      <alignment horizontal="left"/>
    </xf>
    <xf numFmtId="0" fontId="7" fillId="0" borderId="0" xfId="3" applyFont="1"/>
    <xf numFmtId="9" fontId="9" fillId="0" borderId="54" xfId="2" applyFont="1" applyBorder="1"/>
    <xf numFmtId="10" fontId="16" fillId="0" borderId="0" xfId="2" applyNumberFormat="1" applyFont="1" applyAlignment="1">
      <alignment horizontal="left"/>
    </xf>
    <xf numFmtId="166" fontId="16" fillId="0" borderId="0" xfId="2" applyNumberFormat="1" applyFont="1" applyAlignment="1">
      <alignment horizontal="left"/>
    </xf>
    <xf numFmtId="10" fontId="4" fillId="0" borderId="0" xfId="2" applyNumberFormat="1" applyFont="1"/>
    <xf numFmtId="10" fontId="4" fillId="0" borderId="0" xfId="3" applyNumberFormat="1"/>
    <xf numFmtId="43" fontId="4" fillId="0" borderId="0" xfId="1" applyFont="1"/>
    <xf numFmtId="43" fontId="4" fillId="0" borderId="0" xfId="3" applyNumberFormat="1"/>
    <xf numFmtId="167" fontId="4" fillId="0" borderId="0" xfId="2" applyNumberFormat="1" applyFont="1"/>
    <xf numFmtId="0" fontId="9" fillId="0" borderId="55" xfId="3" applyFont="1" applyBorder="1"/>
    <xf numFmtId="0" fontId="0" fillId="4" borderId="0" xfId="0" applyFill="1"/>
    <xf numFmtId="0" fontId="8" fillId="0" borderId="0" xfId="0" applyFont="1"/>
    <xf numFmtId="43" fontId="0" fillId="0" borderId="0" xfId="1" applyFont="1"/>
    <xf numFmtId="0" fontId="14" fillId="2" borderId="0" xfId="0" applyFont="1" applyFill="1" applyAlignment="1">
      <alignment horizontal="left"/>
    </xf>
    <xf numFmtId="0" fontId="15" fillId="0" borderId="0" xfId="0" applyFont="1"/>
    <xf numFmtId="0" fontId="13" fillId="2" borderId="23" xfId="0" applyFont="1" applyFill="1" applyBorder="1" applyAlignment="1">
      <alignment horizontal="left"/>
    </xf>
    <xf numFmtId="0" fontId="13" fillId="2" borderId="23" xfId="0" applyFont="1" applyFill="1" applyBorder="1"/>
    <xf numFmtId="0" fontId="14" fillId="2" borderId="23" xfId="0" applyFont="1" applyFill="1" applyBorder="1" applyAlignment="1">
      <alignment horizontal="left"/>
    </xf>
    <xf numFmtId="20" fontId="0" fillId="0" borderId="0" xfId="0" applyNumberFormat="1"/>
    <xf numFmtId="0" fontId="18" fillId="0" borderId="0" xfId="0" applyFont="1"/>
    <xf numFmtId="0" fontId="2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</cellXfs>
  <cellStyles count="6">
    <cellStyle name="Comma" xfId="1" builtinId="3"/>
    <cellStyle name="Comma 2" xfId="5" xr:uid="{B84D52DD-1F9B-5540-83E9-7B26E58D42A6}"/>
    <cellStyle name="Normal" xfId="0" builtinId="0"/>
    <cellStyle name="Normal 2" xfId="3" xr:uid="{219F6715-6C46-5F42-A70E-378314F7138B}"/>
    <cellStyle name="Per cent" xfId="2" builtinId="5"/>
    <cellStyle name="Per cent 2" xfId="4" xr:uid="{8422CBD6-1664-E24F-8C97-CB7BD02C448A}"/>
  </cellStyles>
  <dxfs count="55"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Volumes/Samsung%20USB/00_slotWork/00_massivePARs/mG007_BonsaiBanzai.xlsx" TargetMode="External"/><Relationship Id="rId2" Type="http://schemas.openxmlformats.org/officeDocument/2006/relationships/externalLinkPath" Target="/Volumes/Samsung%20USB/00_slotWork/00_massivePARs/mG007_BonsaiBanzai.xlsx" TargetMode="External"/><Relationship Id="rId1" Type="http://schemas.openxmlformats.org/officeDocument/2006/relationships/externalLinkPath" Target="/Volumes/Samsung%20USB/00_slotWork/00_massivePARs/mG007_BonsaiBanza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Pay Table"/>
      <sheetName val="LP"/>
      <sheetName val="Reels"/>
      <sheetName val="Gamble Wheel Tool"/>
      <sheetName val="GResults"/>
      <sheetName val="GEMResults"/>
      <sheetName val="GBB1Results"/>
      <sheetName val="GBB2Results"/>
      <sheetName val="RResults"/>
      <sheetName val="REMResults"/>
      <sheetName val="RBB1Results"/>
      <sheetName val="RBB2Results"/>
      <sheetName val="Stats"/>
      <sheetName val="POV"/>
      <sheetName val="Balancing Tables"/>
      <sheetName val="G Set 1"/>
      <sheetName val="G Scripts"/>
      <sheetName val="GFG"/>
      <sheetName val="R Set 1"/>
      <sheetName val="R Scripts"/>
      <sheetName val="RFG"/>
      <sheetName val="GEM1"/>
      <sheetName val="REM1"/>
      <sheetName val="GBB1"/>
      <sheetName val="GBB2"/>
      <sheetName val="RBB1"/>
      <sheetName val="RBB2"/>
      <sheetName val="Config"/>
      <sheetName val="Symbols"/>
      <sheetName val="scripts"/>
      <sheetName val="gs_regulargreen"/>
      <sheetName val="gs_regularred"/>
      <sheetName val="gs_em1green"/>
      <sheetName val="Revision History"/>
      <sheetName val="gs_em1red"/>
      <sheetName val="gs_bb1green"/>
      <sheetName val="gs_bb1red"/>
      <sheetName val="gs_bb2green"/>
      <sheetName val="gs_bb2red"/>
      <sheetName val="bg_rs_green"/>
      <sheetName val="bg_rs_red"/>
      <sheetName val="bg_rs_green_em1"/>
      <sheetName val="bg_rs_red_em1"/>
      <sheetName val="bg_rs_script"/>
      <sheetName val="fs_rs_green"/>
      <sheetName val="fs_rs_red"/>
      <sheetName val="fs_rs_script"/>
      <sheetName val="gs_regulargreen_basegame"/>
      <sheetName val="gs_regularred_basegame"/>
      <sheetName val="gs_em1green_basegame"/>
      <sheetName val="gs_em1red_basegame"/>
      <sheetName val="gs_bb1red_basegame"/>
      <sheetName val="gs_bb1green_basegame"/>
      <sheetName val="gs_bb2red_basegame"/>
      <sheetName val="gs_bb2green_basegame"/>
      <sheetName val="gs_regulargreen_basegame_chance"/>
      <sheetName val="gs_regularred_basegame_chance"/>
      <sheetName val="gs_em1green_basegame_chance"/>
      <sheetName val="gs_em1red_basegame_chance"/>
      <sheetName val="gs_bb1red_basegame_chance"/>
      <sheetName val="gs_bb1green_basegame_chance"/>
      <sheetName val="gs_bb2green_basegame_chance"/>
      <sheetName val="gs_bb2red_basegame_chance"/>
      <sheetName val="gs_regulargreen_freegame"/>
      <sheetName val="gs_regularred_freegame"/>
      <sheetName val="gs_em1green_freegame"/>
      <sheetName val="gs_em1red_freegame"/>
      <sheetName val="gs_bb1green_freegame"/>
      <sheetName val="gs_bb2green_freegame"/>
      <sheetName val="gs_bb1red_freegame"/>
      <sheetName val="gs_bb2red_freegame"/>
      <sheetName val="gs_regulargreen_freegame_chance"/>
      <sheetName val="gs_regularred_freegame_chance"/>
      <sheetName val="gs_em1green_freegame_chance"/>
      <sheetName val="gs_em1red_freegame_chance"/>
      <sheetName val="gs_bb1red_freegame_chance"/>
      <sheetName val="gs_bb1green_freegame_chance"/>
      <sheetName val="gs_bb2red_freegame_chance"/>
      <sheetName val="gs_bb2green_freegame_chance"/>
    </sheetNames>
    <sheetDataSet>
      <sheetData sheetId="0">
        <row r="50">
          <cell r="B50">
            <v>5</v>
          </cell>
        </row>
      </sheetData>
      <sheetData sheetId="1">
        <row r="4">
          <cell r="B4" t="str">
            <v>Wild</v>
          </cell>
        </row>
        <row r="5">
          <cell r="B5" t="str">
            <v>T1</v>
          </cell>
          <cell r="F5">
            <v>0</v>
          </cell>
        </row>
        <row r="6">
          <cell r="B6" t="str">
            <v>T2</v>
          </cell>
          <cell r="F6">
            <v>0</v>
          </cell>
        </row>
        <row r="7">
          <cell r="B7" t="str">
            <v>T3</v>
          </cell>
          <cell r="F7">
            <v>0</v>
          </cell>
        </row>
        <row r="8">
          <cell r="B8" t="str">
            <v>T4</v>
          </cell>
          <cell r="F8">
            <v>0</v>
          </cell>
        </row>
        <row r="9">
          <cell r="B9" t="str">
            <v>T5</v>
          </cell>
          <cell r="F9">
            <v>0</v>
          </cell>
        </row>
        <row r="10">
          <cell r="B10" t="str">
            <v>A</v>
          </cell>
          <cell r="F10">
            <v>0</v>
          </cell>
        </row>
        <row r="11">
          <cell r="B11" t="str">
            <v>K</v>
          </cell>
          <cell r="F11">
            <v>0</v>
          </cell>
        </row>
        <row r="12">
          <cell r="B12" t="str">
            <v>Q</v>
          </cell>
          <cell r="F12">
            <v>0</v>
          </cell>
        </row>
        <row r="13">
          <cell r="B13" t="str">
            <v>J</v>
          </cell>
          <cell r="F13">
            <v>0</v>
          </cell>
        </row>
        <row r="14">
          <cell r="B14">
            <v>10</v>
          </cell>
          <cell r="F1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8">
          <cell r="C48">
            <v>96.394311559773584</v>
          </cell>
        </row>
        <row r="50">
          <cell r="C50">
            <v>168.85354827896165</v>
          </cell>
        </row>
        <row r="52">
          <cell r="C52">
            <v>932.39110948715359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F812-79AF-6D41-83C2-703FCB6740FE}">
  <dimension ref="A1:ES96"/>
  <sheetViews>
    <sheetView zoomScale="120" zoomScaleNormal="120" workbookViewId="0">
      <selection activeCell="A27" sqref="A27:E38"/>
    </sheetView>
  </sheetViews>
  <sheetFormatPr baseColWidth="10" defaultColWidth="11.5" defaultRowHeight="16" x14ac:dyDescent="0.2"/>
  <cols>
    <col min="2" max="2" width="20.83203125" bestFit="1" customWidth="1"/>
    <col min="3" max="3" width="29.33203125" customWidth="1"/>
    <col min="5" max="5" width="16.83203125" customWidth="1"/>
    <col min="7" max="7" width="12.33203125" bestFit="1" customWidth="1"/>
    <col min="9" max="9" width="13" customWidth="1"/>
    <col min="12" max="12" width="12.33203125" bestFit="1" customWidth="1"/>
    <col min="17" max="17" width="23" customWidth="1"/>
    <col min="18" max="18" width="12.33203125" bestFit="1" customWidth="1"/>
    <col min="21" max="21" width="12.33203125" bestFit="1" customWidth="1"/>
    <col min="23" max="23" width="11.6640625" customWidth="1"/>
    <col min="54" max="55" width="12.33203125" bestFit="1" customWidth="1"/>
    <col min="57" max="58" width="12.33203125" bestFit="1" customWidth="1"/>
    <col min="60" max="60" width="12.33203125" bestFit="1" customWidth="1"/>
    <col min="63" max="64" width="12.33203125" bestFit="1" customWidth="1"/>
    <col min="72" max="73" width="12.33203125" bestFit="1" customWidth="1"/>
    <col min="75" max="75" width="12.33203125" bestFit="1" customWidth="1"/>
    <col min="78" max="79" width="12.33203125" bestFit="1" customWidth="1"/>
    <col min="81" max="81" width="12.33203125" bestFit="1" customWidth="1"/>
    <col min="149" max="149" width="14.6640625" bestFit="1" customWidth="1"/>
  </cols>
  <sheetData>
    <row r="1" spans="2:54" ht="17" thickBot="1" x14ac:dyDescent="0.25"/>
    <row r="2" spans="2:54" ht="17" thickBot="1" x14ac:dyDescent="0.25">
      <c r="B2" s="1" t="s">
        <v>0</v>
      </c>
      <c r="I2" s="233" t="s">
        <v>1</v>
      </c>
      <c r="J2" s="234"/>
      <c r="K2" s="235"/>
      <c r="M2" s="233"/>
      <c r="N2" s="234"/>
      <c r="O2" s="235"/>
      <c r="Q2" s="233"/>
      <c r="R2" s="234"/>
      <c r="S2" s="234"/>
      <c r="T2" s="235"/>
      <c r="V2" s="230" t="s">
        <v>2</v>
      </c>
      <c r="W2" s="231"/>
      <c r="X2" s="231"/>
      <c r="Y2" s="231"/>
      <c r="Z2" s="231"/>
      <c r="AA2" s="232"/>
      <c r="AB2" s="5"/>
    </row>
    <row r="3" spans="2:54" ht="17" thickBot="1" x14ac:dyDescent="0.25">
      <c r="I3" s="6" t="s">
        <v>3</v>
      </c>
      <c r="J3" s="2" t="s">
        <v>4</v>
      </c>
      <c r="K3" s="7" t="s">
        <v>5</v>
      </c>
      <c r="M3" s="6"/>
      <c r="N3" s="2"/>
      <c r="O3" s="2"/>
      <c r="Q3" s="8"/>
      <c r="R3" s="9"/>
      <c r="S3" s="9"/>
      <c r="T3" s="9"/>
      <c r="V3" s="10" t="s">
        <v>7</v>
      </c>
      <c r="W3" s="11" t="s">
        <v>8</v>
      </c>
      <c r="X3" s="11" t="s">
        <v>9</v>
      </c>
      <c r="Y3" s="11" t="s">
        <v>10</v>
      </c>
      <c r="Z3" s="11" t="s">
        <v>11</v>
      </c>
      <c r="AA3" s="12" t="s">
        <v>12</v>
      </c>
      <c r="AB3" s="13"/>
    </row>
    <row r="4" spans="2:54" ht="17" thickBot="1" x14ac:dyDescent="0.25">
      <c r="C4" s="14" t="s">
        <v>13</v>
      </c>
      <c r="D4" s="14"/>
      <c r="E4" s="14"/>
      <c r="I4" s="15">
        <v>1</v>
      </c>
      <c r="J4" s="16">
        <v>1</v>
      </c>
      <c r="K4" s="17">
        <f t="shared" ref="K4:K15" si="0">J4/SUM($J$4:$J$15)</f>
        <v>1</v>
      </c>
      <c r="M4" s="15"/>
      <c r="N4" s="16"/>
      <c r="O4" s="17"/>
      <c r="Q4" s="18"/>
      <c r="R4" s="16"/>
      <c r="S4" s="16"/>
      <c r="T4" s="17"/>
      <c r="V4" s="19" t="s">
        <v>6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1"/>
    </row>
    <row r="5" spans="2:54" ht="17" thickBot="1" x14ac:dyDescent="0.25">
      <c r="B5" s="14" t="s">
        <v>14</v>
      </c>
      <c r="C5" s="22">
        <f>SUMPRODUCT($O$26:$O$57,$Q$26:$Q$57)</f>
        <v>4.594478180137436E-2</v>
      </c>
      <c r="D5" s="23"/>
      <c r="E5" s="23"/>
      <c r="G5">
        <f>C5*15</f>
        <v>0.68917172702061535</v>
      </c>
      <c r="I5" s="24">
        <v>2</v>
      </c>
      <c r="J5" s="25">
        <v>0</v>
      </c>
      <c r="K5" s="26">
        <f t="shared" si="0"/>
        <v>0</v>
      </c>
      <c r="M5" s="24"/>
      <c r="N5" s="25"/>
      <c r="O5" s="26"/>
      <c r="Q5" s="27"/>
      <c r="R5" s="25"/>
      <c r="S5" s="25"/>
      <c r="T5" s="26"/>
      <c r="V5" s="19" t="s">
        <v>15</v>
      </c>
      <c r="W5" s="20">
        <v>5</v>
      </c>
      <c r="X5" s="20">
        <v>5</v>
      </c>
      <c r="Y5" s="20">
        <v>5</v>
      </c>
      <c r="Z5" s="20">
        <v>5</v>
      </c>
      <c r="AA5" s="20">
        <v>5</v>
      </c>
      <c r="AB5" s="21"/>
    </row>
    <row r="6" spans="2:54" ht="17" thickBot="1" x14ac:dyDescent="0.25">
      <c r="B6" s="14"/>
      <c r="C6" s="28"/>
      <c r="D6" s="23"/>
      <c r="E6" s="23"/>
      <c r="I6" s="24">
        <v>3</v>
      </c>
      <c r="J6" s="25">
        <v>0</v>
      </c>
      <c r="K6" s="26">
        <f t="shared" si="0"/>
        <v>0</v>
      </c>
      <c r="M6" s="24"/>
      <c r="N6" s="25"/>
      <c r="O6" s="26"/>
      <c r="Q6" s="27"/>
      <c r="R6" s="25"/>
      <c r="S6" s="25"/>
      <c r="T6" s="26"/>
      <c r="V6" s="19" t="s">
        <v>16</v>
      </c>
      <c r="W6" s="20">
        <v>6</v>
      </c>
      <c r="X6" s="20">
        <v>6</v>
      </c>
      <c r="Y6" s="20">
        <v>6</v>
      </c>
      <c r="Z6" s="20">
        <v>6</v>
      </c>
      <c r="AA6" s="20">
        <v>6</v>
      </c>
      <c r="AB6" s="21"/>
    </row>
    <row r="7" spans="2:54" ht="17" thickBot="1" x14ac:dyDescent="0.25">
      <c r="I7" s="24">
        <v>4</v>
      </c>
      <c r="J7" s="25">
        <v>0</v>
      </c>
      <c r="K7" s="26">
        <f t="shared" si="0"/>
        <v>0</v>
      </c>
      <c r="M7" s="24"/>
      <c r="N7" s="25"/>
      <c r="O7" s="26"/>
      <c r="Q7" s="27"/>
      <c r="R7" s="25"/>
      <c r="S7" s="25"/>
      <c r="T7" s="26"/>
      <c r="V7" s="19" t="s">
        <v>17</v>
      </c>
      <c r="W7" s="20">
        <v>6</v>
      </c>
      <c r="X7" s="20">
        <v>6</v>
      </c>
      <c r="Y7" s="20">
        <v>6</v>
      </c>
      <c r="Z7" s="20">
        <v>6</v>
      </c>
      <c r="AA7" s="20">
        <v>6</v>
      </c>
      <c r="AB7" s="21"/>
    </row>
    <row r="8" spans="2:54" ht="17" thickBot="1" x14ac:dyDescent="0.25">
      <c r="B8" s="236" t="s">
        <v>18</v>
      </c>
      <c r="C8" s="237"/>
      <c r="D8" s="237"/>
      <c r="E8" s="238"/>
      <c r="F8" s="1"/>
      <c r="I8" s="24">
        <v>5</v>
      </c>
      <c r="J8" s="25">
        <v>0</v>
      </c>
      <c r="K8" s="26">
        <f t="shared" si="0"/>
        <v>0</v>
      </c>
      <c r="M8" s="24"/>
      <c r="N8" s="25"/>
      <c r="O8" s="26"/>
      <c r="Q8" s="27"/>
      <c r="R8" s="25"/>
      <c r="S8" s="25"/>
      <c r="T8" s="26"/>
      <c r="V8" s="19" t="s">
        <v>19</v>
      </c>
      <c r="W8" s="20">
        <v>6</v>
      </c>
      <c r="X8" s="20">
        <v>6</v>
      </c>
      <c r="Y8" s="20">
        <v>6</v>
      </c>
      <c r="Z8" s="20">
        <v>6</v>
      </c>
      <c r="AA8" s="20">
        <v>6</v>
      </c>
      <c r="AB8" s="21"/>
    </row>
    <row r="9" spans="2:54" ht="17" thickBot="1" x14ac:dyDescent="0.25">
      <c r="B9" s="29" t="s">
        <v>20</v>
      </c>
      <c r="C9" s="30" t="s">
        <v>21</v>
      </c>
      <c r="D9" s="31" t="s">
        <v>22</v>
      </c>
      <c r="E9" s="32" t="s">
        <v>23</v>
      </c>
      <c r="I9" s="24">
        <v>7</v>
      </c>
      <c r="J9" s="25">
        <v>0</v>
      </c>
      <c r="K9" s="26">
        <f t="shared" si="0"/>
        <v>0</v>
      </c>
      <c r="M9" s="24"/>
      <c r="N9" s="25"/>
      <c r="O9" s="26"/>
      <c r="Q9" s="33"/>
      <c r="R9" s="34"/>
      <c r="S9" s="34"/>
      <c r="T9" s="35"/>
      <c r="V9" s="36" t="s">
        <v>24</v>
      </c>
      <c r="W9" s="20">
        <v>6</v>
      </c>
      <c r="X9" s="20">
        <v>6</v>
      </c>
      <c r="Y9" s="20">
        <v>6</v>
      </c>
      <c r="Z9" s="20">
        <v>6</v>
      </c>
      <c r="AA9" s="20">
        <v>6</v>
      </c>
      <c r="AB9" s="21"/>
      <c r="AC9" s="217">
        <v>1500000</v>
      </c>
    </row>
    <row r="10" spans="2:54" x14ac:dyDescent="0.2">
      <c r="B10" s="37">
        <v>3</v>
      </c>
      <c r="C10" s="38">
        <f>SUMIF($P$64:$P$95,B10,$O$64:$O$95)</f>
        <v>5.7870370370370367E-4</v>
      </c>
      <c r="D10" s="39">
        <f>1/C10</f>
        <v>1728</v>
      </c>
      <c r="E10" s="40">
        <f>[1]GFG!C48</f>
        <v>96.394311559773584</v>
      </c>
      <c r="F10">
        <f>C10/SUM($C$10:$C$12)</f>
        <v>1</v>
      </c>
      <c r="G10">
        <f>SUMPRODUCT(E10:E12,F10:F12)</f>
        <v>96.394311559773584</v>
      </c>
      <c r="I10" s="24">
        <v>9</v>
      </c>
      <c r="J10" s="25">
        <v>0</v>
      </c>
      <c r="K10" s="26">
        <f t="shared" si="0"/>
        <v>0</v>
      </c>
      <c r="M10" s="24"/>
      <c r="N10" s="25"/>
      <c r="O10" s="26"/>
      <c r="V10" s="19" t="s">
        <v>25</v>
      </c>
      <c r="W10" s="20">
        <v>5</v>
      </c>
      <c r="X10" s="20">
        <v>6</v>
      </c>
      <c r="Y10" s="20">
        <v>5</v>
      </c>
      <c r="Z10" s="20">
        <v>6</v>
      </c>
      <c r="AA10" s="20">
        <v>5</v>
      </c>
      <c r="AB10" s="21"/>
      <c r="AC10" s="218">
        <f>AC9/15</f>
        <v>100000</v>
      </c>
    </row>
    <row r="11" spans="2:54" x14ac:dyDescent="0.2">
      <c r="B11" s="41">
        <v>4</v>
      </c>
      <c r="C11" s="42">
        <f>SUMIF($P$64:$P$95,B11,$O$64:$O$95)</f>
        <v>0</v>
      </c>
      <c r="D11" s="43" t="e">
        <f>1/C11</f>
        <v>#DIV/0!</v>
      </c>
      <c r="E11" s="44">
        <f>[1]GFG!C50</f>
        <v>168.85354827896165</v>
      </c>
      <c r="F11">
        <f t="shared" ref="F11:F12" si="1">C11/SUM($C$10:$C$12)</f>
        <v>0</v>
      </c>
      <c r="I11" s="24">
        <v>10</v>
      </c>
      <c r="J11" s="25">
        <v>0</v>
      </c>
      <c r="K11" s="26">
        <f t="shared" si="0"/>
        <v>0</v>
      </c>
      <c r="M11" s="24"/>
      <c r="N11" s="25"/>
      <c r="O11" s="26"/>
      <c r="V11" s="19" t="s">
        <v>26</v>
      </c>
      <c r="W11" s="20">
        <v>6</v>
      </c>
      <c r="X11" s="20">
        <v>6</v>
      </c>
      <c r="Y11" s="20">
        <v>6</v>
      </c>
      <c r="Z11" s="20">
        <v>6</v>
      </c>
      <c r="AA11" s="20">
        <v>6</v>
      </c>
      <c r="AB11" s="21"/>
    </row>
    <row r="12" spans="2:54" ht="17" thickBot="1" x14ac:dyDescent="0.25">
      <c r="B12" s="45">
        <v>5</v>
      </c>
      <c r="C12" s="46">
        <f>SUMIF($P$64:$P$95,B12,$O$64:$O$95)</f>
        <v>0</v>
      </c>
      <c r="D12" s="47" t="e">
        <f>1/C12</f>
        <v>#DIV/0!</v>
      </c>
      <c r="E12" s="48">
        <f>[1]GFG!C52</f>
        <v>932.39110948715359</v>
      </c>
      <c r="F12">
        <f t="shared" si="1"/>
        <v>0</v>
      </c>
      <c r="I12" s="24">
        <v>15</v>
      </c>
      <c r="J12" s="25">
        <v>0</v>
      </c>
      <c r="K12" s="26">
        <f t="shared" si="0"/>
        <v>0</v>
      </c>
      <c r="M12" s="24"/>
      <c r="N12" s="25"/>
      <c r="O12" s="26"/>
      <c r="V12" s="19" t="s">
        <v>27</v>
      </c>
      <c r="W12" s="20">
        <v>6</v>
      </c>
      <c r="X12" s="20">
        <v>6</v>
      </c>
      <c r="Y12" s="20">
        <v>6</v>
      </c>
      <c r="Z12" s="20">
        <v>6</v>
      </c>
      <c r="AA12" s="20">
        <v>6</v>
      </c>
      <c r="AB12" s="21"/>
    </row>
    <row r="13" spans="2:54" ht="17" thickBot="1" x14ac:dyDescent="0.25">
      <c r="G13" s="49"/>
      <c r="I13" s="24">
        <v>20</v>
      </c>
      <c r="J13" s="25">
        <v>0</v>
      </c>
      <c r="K13" s="26">
        <f t="shared" si="0"/>
        <v>0</v>
      </c>
      <c r="M13" s="24"/>
      <c r="N13" s="25"/>
      <c r="O13" s="26"/>
      <c r="Q13" s="67"/>
      <c r="R13" s="68"/>
      <c r="V13" s="19" t="s">
        <v>28</v>
      </c>
      <c r="W13" s="20">
        <v>6</v>
      </c>
      <c r="X13" s="20">
        <v>6</v>
      </c>
      <c r="Y13" s="20">
        <v>6</v>
      </c>
      <c r="Z13" s="20">
        <v>6</v>
      </c>
      <c r="AA13" s="20">
        <v>6</v>
      </c>
      <c r="AB13" s="21"/>
    </row>
    <row r="14" spans="2:54" ht="17" thickBot="1" x14ac:dyDescent="0.25">
      <c r="I14" s="24">
        <v>25</v>
      </c>
      <c r="J14" s="25">
        <v>0</v>
      </c>
      <c r="K14" s="26">
        <f t="shared" si="0"/>
        <v>0</v>
      </c>
      <c r="M14" s="24"/>
      <c r="N14" s="25"/>
      <c r="O14" s="26"/>
      <c r="Q14" s="69"/>
      <c r="R14" s="70"/>
      <c r="V14" s="19" t="s">
        <v>29</v>
      </c>
      <c r="W14" s="20">
        <v>6</v>
      </c>
      <c r="X14" s="20">
        <v>6</v>
      </c>
      <c r="Y14" s="20">
        <v>6</v>
      </c>
      <c r="Z14" s="20">
        <v>6</v>
      </c>
      <c r="AA14" s="20">
        <v>6</v>
      </c>
      <c r="AB14" s="21"/>
    </row>
    <row r="15" spans="2:54" ht="17" thickBot="1" x14ac:dyDescent="0.25">
      <c r="B15" s="50"/>
      <c r="C15" s="51"/>
      <c r="D15" s="51"/>
      <c r="E15" s="52"/>
      <c r="F15" s="53"/>
      <c r="I15" s="54">
        <v>30</v>
      </c>
      <c r="J15" s="34">
        <v>0</v>
      </c>
      <c r="K15" s="35">
        <f t="shared" si="0"/>
        <v>0</v>
      </c>
      <c r="M15" s="54"/>
      <c r="N15" s="34"/>
      <c r="O15" s="35"/>
      <c r="Q15" s="67"/>
      <c r="R15" s="68"/>
      <c r="V15" s="19" t="s">
        <v>30</v>
      </c>
      <c r="W15" s="20">
        <v>1</v>
      </c>
      <c r="X15" s="20">
        <v>0</v>
      </c>
      <c r="Y15" s="20">
        <v>1</v>
      </c>
      <c r="Z15" s="20">
        <v>0</v>
      </c>
      <c r="AA15" s="20">
        <v>1</v>
      </c>
      <c r="AB15" s="21"/>
    </row>
    <row r="16" spans="2:54" x14ac:dyDescent="0.2">
      <c r="B16" s="55"/>
      <c r="C16" s="42"/>
      <c r="D16" s="56"/>
      <c r="E16" s="57"/>
      <c r="F16" s="44"/>
      <c r="G16" s="5"/>
      <c r="V16" s="19" t="s">
        <v>31</v>
      </c>
      <c r="W16" s="20">
        <v>1</v>
      </c>
      <c r="X16" s="20">
        <v>1</v>
      </c>
      <c r="Y16" s="20">
        <v>1</v>
      </c>
      <c r="Z16" s="20">
        <v>1</v>
      </c>
      <c r="AA16" s="20">
        <v>1</v>
      </c>
      <c r="AB16" s="21"/>
      <c r="BB16">
        <v>7776</v>
      </c>
    </row>
    <row r="17" spans="1:149" ht="17" thickBot="1" x14ac:dyDescent="0.25">
      <c r="B17" s="58"/>
      <c r="C17" s="59"/>
      <c r="D17" s="60"/>
      <c r="E17" s="61"/>
      <c r="F17" s="48"/>
      <c r="V17" s="36"/>
      <c r="W17" s="62"/>
      <c r="X17" s="62"/>
      <c r="Y17" s="62"/>
      <c r="Z17" s="62"/>
      <c r="AA17" s="63"/>
      <c r="AB17" s="21"/>
      <c r="BB17">
        <f>BB16*15</f>
        <v>116640</v>
      </c>
    </row>
    <row r="18" spans="1:149" ht="17" thickBot="1" x14ac:dyDescent="0.25">
      <c r="V18" s="64" t="s">
        <v>32</v>
      </c>
      <c r="W18" s="65">
        <f>SUM(W4:W17)</f>
        <v>60</v>
      </c>
      <c r="X18" s="65">
        <f>SUM(X4:X17)</f>
        <v>60</v>
      </c>
      <c r="Y18" s="65">
        <f>SUM(Y4:Y17)</f>
        <v>60</v>
      </c>
      <c r="Z18" s="65">
        <f>SUM(Z4:Z17)</f>
        <v>60</v>
      </c>
      <c r="AA18" s="66">
        <f>SUM(AA4:AA17)</f>
        <v>60</v>
      </c>
      <c r="AB18" s="21"/>
    </row>
    <row r="20" spans="1:149" ht="17" thickBot="1" x14ac:dyDescent="0.25"/>
    <row r="21" spans="1:149" ht="17" thickBot="1" x14ac:dyDescent="0.25">
      <c r="H21" s="71"/>
      <c r="I21" s="72" t="s">
        <v>82</v>
      </c>
      <c r="J21" s="2" t="s">
        <v>8</v>
      </c>
      <c r="K21" s="3" t="s">
        <v>9</v>
      </c>
      <c r="L21" s="3" t="s">
        <v>10</v>
      </c>
      <c r="M21" s="3" t="s">
        <v>11</v>
      </c>
      <c r="N21" s="4" t="s">
        <v>12</v>
      </c>
    </row>
    <row r="22" spans="1:149" x14ac:dyDescent="0.2">
      <c r="I22" s="73" t="s">
        <v>33</v>
      </c>
      <c r="J22" s="27">
        <f>B54/60</f>
        <v>1.6666666666666666E-2</v>
      </c>
      <c r="K22" s="27">
        <f t="shared" ref="K22:N22" si="2">C54/60</f>
        <v>1.6666666666666666E-2</v>
      </c>
      <c r="L22" s="27">
        <f t="shared" si="2"/>
        <v>1.6666666666666666E-2</v>
      </c>
      <c r="M22" s="27">
        <f t="shared" si="2"/>
        <v>1.6666666666666666E-2</v>
      </c>
      <c r="N22" s="27">
        <f t="shared" si="2"/>
        <v>1.6666666666666666E-2</v>
      </c>
      <c r="Q22" s="49">
        <f>Q26*15</f>
        <v>0.1159493672839506</v>
      </c>
      <c r="BQ22">
        <f>BQ23*15</f>
        <v>158745</v>
      </c>
    </row>
    <row r="23" spans="1:149" ht="17" thickBot="1" x14ac:dyDescent="0.25">
      <c r="I23" s="75" t="s">
        <v>21</v>
      </c>
      <c r="J23" s="76">
        <f>J22*5</f>
        <v>8.3333333333333329E-2</v>
      </c>
      <c r="K23" s="77">
        <f>K22*5</f>
        <v>8.3333333333333329E-2</v>
      </c>
      <c r="L23" s="77">
        <f>L22*5</f>
        <v>8.3333333333333329E-2</v>
      </c>
      <c r="M23" s="77">
        <f>M22*5</f>
        <v>8.3333333333333329E-2</v>
      </c>
      <c r="N23" s="78">
        <f>N22*5</f>
        <v>8.3333333333333329E-2</v>
      </c>
      <c r="Q23" s="79"/>
      <c r="R23" s="79"/>
      <c r="S23" s="1"/>
      <c r="BN23" s="216"/>
      <c r="BQ23">
        <v>10583</v>
      </c>
    </row>
    <row r="24" spans="1:149" ht="17" thickBot="1" x14ac:dyDescent="0.25">
      <c r="I24" s="80" t="s">
        <v>34</v>
      </c>
      <c r="Q24" s="81" t="s">
        <v>35</v>
      </c>
      <c r="AY24" s="5" t="s">
        <v>36</v>
      </c>
      <c r="CF24" s="5"/>
      <c r="CG24" s="5"/>
      <c r="CH24" s="5"/>
      <c r="CI24" s="5"/>
      <c r="CJ24" s="5"/>
      <c r="CK24" s="233" t="s">
        <v>37</v>
      </c>
      <c r="CL24" s="234"/>
      <c r="CM24" s="234"/>
      <c r="CN24" s="234"/>
      <c r="CO24" s="234"/>
      <c r="CP24" s="234"/>
      <c r="CQ24" s="234"/>
      <c r="CR24" s="234"/>
      <c r="CS24" s="234"/>
      <c r="CT24" s="234"/>
      <c r="CU24" s="234"/>
      <c r="CV24" s="234"/>
      <c r="CW24" s="234"/>
      <c r="CX24" s="234"/>
      <c r="CY24" s="234"/>
      <c r="CZ24" s="234"/>
      <c r="DA24" s="234"/>
      <c r="DB24" s="234"/>
      <c r="DC24" s="234"/>
      <c r="DD24" s="234"/>
      <c r="DE24" s="234"/>
      <c r="DF24" s="234"/>
      <c r="DG24" s="234"/>
      <c r="DH24" s="234"/>
      <c r="DI24" s="234"/>
      <c r="DJ24" s="234"/>
      <c r="DK24" s="234"/>
      <c r="DL24" s="234"/>
      <c r="DM24" s="234"/>
      <c r="DN24" s="234"/>
      <c r="DO24" s="234"/>
      <c r="DP24" s="234"/>
      <c r="DQ24" s="234"/>
      <c r="DR24" s="234"/>
      <c r="DS24" s="234"/>
      <c r="DT24" s="234"/>
      <c r="DU24" s="234"/>
      <c r="DV24" s="234"/>
      <c r="DW24" s="234"/>
      <c r="DX24" s="234"/>
      <c r="DY24" s="234"/>
      <c r="DZ24" s="234"/>
      <c r="EA24" s="234"/>
      <c r="EB24" s="234"/>
      <c r="EC24" s="234"/>
      <c r="ED24" s="234"/>
      <c r="EE24" s="234"/>
      <c r="EF24" s="234"/>
      <c r="EG24" s="234"/>
      <c r="EH24" s="234"/>
      <c r="EI24" s="234"/>
      <c r="EJ24" s="234"/>
      <c r="EK24" s="234"/>
      <c r="EL24" s="234"/>
      <c r="EM24" s="234"/>
      <c r="EN24" s="233" t="s">
        <v>38</v>
      </c>
      <c r="EO24" s="234"/>
      <c r="EP24" s="234"/>
      <c r="EQ24" s="234"/>
      <c r="ER24" s="234"/>
    </row>
    <row r="25" spans="1:149" ht="17" thickBot="1" x14ac:dyDescent="0.25">
      <c r="I25" s="6" t="s">
        <v>39</v>
      </c>
      <c r="J25" s="2" t="s">
        <v>8</v>
      </c>
      <c r="K25" s="3" t="s">
        <v>9</v>
      </c>
      <c r="L25" s="3" t="s">
        <v>10</v>
      </c>
      <c r="M25" s="3" t="s">
        <v>11</v>
      </c>
      <c r="N25" s="3" t="s">
        <v>12</v>
      </c>
      <c r="O25" s="82" t="s">
        <v>21</v>
      </c>
      <c r="P25" s="83" t="s">
        <v>40</v>
      </c>
      <c r="Q25" s="83" t="s">
        <v>41</v>
      </c>
      <c r="R25" s="14" t="s">
        <v>42</v>
      </c>
      <c r="S25" s="83" t="s">
        <v>43</v>
      </c>
      <c r="T25" s="83" t="s">
        <v>44</v>
      </c>
      <c r="U25" s="83" t="s">
        <v>45</v>
      </c>
      <c r="V25" s="83" t="s">
        <v>46</v>
      </c>
      <c r="W25" s="84" t="s">
        <v>47</v>
      </c>
      <c r="X25" s="83" t="s">
        <v>48</v>
      </c>
      <c r="Y25" s="83" t="s">
        <v>49</v>
      </c>
      <c r="Z25" s="83" t="s">
        <v>50</v>
      </c>
      <c r="AA25" s="83" t="s">
        <v>51</v>
      </c>
      <c r="AB25" s="83" t="s">
        <v>52</v>
      </c>
      <c r="AC25" s="84" t="s">
        <v>53</v>
      </c>
      <c r="AD25" s="83" t="s">
        <v>54</v>
      </c>
      <c r="AE25" s="83" t="s">
        <v>55</v>
      </c>
      <c r="AF25" s="84" t="s">
        <v>56</v>
      </c>
      <c r="AG25" s="83" t="s">
        <v>57</v>
      </c>
      <c r="AH25" s="83" t="s">
        <v>58</v>
      </c>
      <c r="AI25" s="84" t="s">
        <v>59</v>
      </c>
      <c r="AJ25" s="83" t="s">
        <v>60</v>
      </c>
      <c r="AK25" s="83" t="s">
        <v>61</v>
      </c>
      <c r="AL25" s="84" t="s">
        <v>62</v>
      </c>
      <c r="AM25" s="83" t="s">
        <v>63</v>
      </c>
      <c r="AN25" s="83" t="s">
        <v>64</v>
      </c>
      <c r="AO25" s="83" t="s">
        <v>65</v>
      </c>
      <c r="AP25" s="83" t="s">
        <v>66</v>
      </c>
      <c r="AQ25" s="83" t="s">
        <v>67</v>
      </c>
      <c r="AR25" s="83" t="s">
        <v>68</v>
      </c>
      <c r="AS25" s="83" t="s">
        <v>69</v>
      </c>
      <c r="AT25" s="83" t="s">
        <v>70</v>
      </c>
      <c r="AU25" s="83" t="s">
        <v>71</v>
      </c>
      <c r="AV25" s="83" t="s">
        <v>72</v>
      </c>
      <c r="AW25" s="83" t="s">
        <v>73</v>
      </c>
      <c r="AX25" s="84" t="s">
        <v>74</v>
      </c>
      <c r="AY25" s="14" t="s">
        <v>42</v>
      </c>
      <c r="AZ25" s="83" t="s">
        <v>43</v>
      </c>
      <c r="BA25" s="83" t="s">
        <v>44</v>
      </c>
      <c r="BB25" s="83" t="s">
        <v>45</v>
      </c>
      <c r="BC25" s="83" t="s">
        <v>46</v>
      </c>
      <c r="BD25" s="84" t="s">
        <v>47</v>
      </c>
      <c r="BE25" s="83" t="s">
        <v>48</v>
      </c>
      <c r="BF25" s="83" t="s">
        <v>49</v>
      </c>
      <c r="BG25" s="84" t="s">
        <v>50</v>
      </c>
      <c r="BH25" s="83" t="s">
        <v>51</v>
      </c>
      <c r="BI25" s="83" t="s">
        <v>52</v>
      </c>
      <c r="BJ25" s="84" t="s">
        <v>53</v>
      </c>
      <c r="BK25" s="83" t="s">
        <v>54</v>
      </c>
      <c r="BL25" s="83" t="s">
        <v>55</v>
      </c>
      <c r="BM25" s="84" t="s">
        <v>56</v>
      </c>
      <c r="BN25" s="83" t="s">
        <v>57</v>
      </c>
      <c r="BO25" s="83" t="s">
        <v>58</v>
      </c>
      <c r="BP25" s="84" t="s">
        <v>59</v>
      </c>
      <c r="BQ25" s="83" t="s">
        <v>60</v>
      </c>
      <c r="BR25" s="83" t="s">
        <v>61</v>
      </c>
      <c r="BS25" s="84" t="s">
        <v>62</v>
      </c>
      <c r="BT25" s="83" t="s">
        <v>63</v>
      </c>
      <c r="BU25" s="83" t="s">
        <v>64</v>
      </c>
      <c r="BV25" s="84" t="s">
        <v>65</v>
      </c>
      <c r="BW25" s="83" t="s">
        <v>66</v>
      </c>
      <c r="BX25" s="83" t="s">
        <v>67</v>
      </c>
      <c r="BY25" s="83" t="s">
        <v>68</v>
      </c>
      <c r="BZ25" s="83" t="s">
        <v>69</v>
      </c>
      <c r="CA25" s="83" t="s">
        <v>70</v>
      </c>
      <c r="CB25" s="83" t="s">
        <v>71</v>
      </c>
      <c r="CC25" s="83" t="s">
        <v>72</v>
      </c>
      <c r="CD25" s="83" t="s">
        <v>73</v>
      </c>
      <c r="CE25" s="83" t="s">
        <v>74</v>
      </c>
      <c r="CF25" s="233" t="s">
        <v>75</v>
      </c>
      <c r="CG25" s="234"/>
      <c r="CH25" s="234"/>
      <c r="CI25" s="234"/>
      <c r="CJ25" s="234"/>
      <c r="CK25" s="233" t="s">
        <v>15</v>
      </c>
      <c r="CL25" s="234"/>
      <c r="CM25" s="234"/>
      <c r="CN25" s="234"/>
      <c r="CO25" s="234"/>
      <c r="CP25" s="233" t="s">
        <v>16</v>
      </c>
      <c r="CQ25" s="234"/>
      <c r="CR25" s="234"/>
      <c r="CS25" s="234"/>
      <c r="CT25" s="234"/>
      <c r="CU25" s="234" t="s">
        <v>17</v>
      </c>
      <c r="CV25" s="234"/>
      <c r="CW25" s="234"/>
      <c r="CX25" s="234"/>
      <c r="CY25" s="234"/>
      <c r="CZ25" s="233" t="s">
        <v>19</v>
      </c>
      <c r="DA25" s="234"/>
      <c r="DB25" s="234"/>
      <c r="DC25" s="234"/>
      <c r="DD25" s="234"/>
      <c r="DE25" s="233" t="s">
        <v>24</v>
      </c>
      <c r="DF25" s="234"/>
      <c r="DG25" s="234"/>
      <c r="DH25" s="234"/>
      <c r="DI25" s="235"/>
      <c r="DJ25" s="233" t="s">
        <v>25</v>
      </c>
      <c r="DK25" s="234"/>
      <c r="DL25" s="234"/>
      <c r="DM25" s="234"/>
      <c r="DN25" s="234"/>
      <c r="DO25" s="233" t="s">
        <v>26</v>
      </c>
      <c r="DP25" s="234"/>
      <c r="DQ25" s="234"/>
      <c r="DR25" s="234"/>
      <c r="DS25" s="234"/>
      <c r="DT25" s="233" t="s">
        <v>27</v>
      </c>
      <c r="DU25" s="234"/>
      <c r="DV25" s="234"/>
      <c r="DW25" s="234"/>
      <c r="DX25" s="235"/>
      <c r="DY25" s="233" t="s">
        <v>28</v>
      </c>
      <c r="DZ25" s="234"/>
      <c r="EA25" s="234"/>
      <c r="EB25" s="234"/>
      <c r="EC25" s="235"/>
      <c r="ED25" s="233">
        <v>10</v>
      </c>
      <c r="EE25" s="234"/>
      <c r="EF25" s="234"/>
      <c r="EG25" s="234"/>
      <c r="EH25" s="235"/>
      <c r="EI25" s="233" t="s">
        <v>30</v>
      </c>
      <c r="EJ25" s="234"/>
      <c r="EK25" s="234"/>
      <c r="EL25" s="234"/>
      <c r="EM25" s="235"/>
      <c r="EN25" s="82">
        <v>1</v>
      </c>
      <c r="EO25" s="84">
        <v>2</v>
      </c>
      <c r="EP25" s="84">
        <v>3</v>
      </c>
      <c r="EQ25" s="84">
        <v>4</v>
      </c>
      <c r="ER25" s="83">
        <v>5</v>
      </c>
    </row>
    <row r="26" spans="1:149" ht="17" thickBot="1" x14ac:dyDescent="0.25">
      <c r="I26" s="88">
        <v>0</v>
      </c>
      <c r="J26" s="27">
        <v>0</v>
      </c>
      <c r="K26">
        <v>0</v>
      </c>
      <c r="L26">
        <v>0</v>
      </c>
      <c r="M26">
        <v>0</v>
      </c>
      <c r="N26">
        <v>0</v>
      </c>
      <c r="O26">
        <f t="shared" ref="O26:O57" si="3">IF(J26=1,J$23,1-J$23)*IF(K26=1,K$23,1-K$23)*IF(L26=1,L$23,1-L$23)*IF(M26=1,M$23,1-M$23)*IF(N26=1,N$23,1-N$23)</f>
        <v>0.64722784850823034</v>
      </c>
      <c r="P26" s="74">
        <f>SUM(J26:N26)</f>
        <v>0</v>
      </c>
      <c r="Q26" s="114">
        <f>SUM(R26:AX26)/PRODUCT(EN26:ER26)</f>
        <v>7.7299578189300401E-3</v>
      </c>
      <c r="R26" s="89">
        <f t="shared" ref="R26:R57" si="4">AY26*VLOOKUP(MID(R$25,FIND(" ",R$25)+1,LEN(R$25)-3),$A$27:$E$38,7-_xlfn.NUMBERVALUE(LEFT(R$25)),FALSE)
*IF(LEFT(R$25)="5",IF(COUNTIF($J26:$N26,1)*SUMPRODUCT($I$4:$I$15,$K$4:$K$15)&lt;&gt;0,COUNTIF($J26:$N26,1)*SUMPRODUCT($I$4:$I$15,$K$4:$K$15),1),IF(LEFT(R$25)="4",IF(COUNTIF($J26:$M26,1)*SUMPRODUCT($I$4:$I$15,$K$4:$K$15)&lt;&gt;0,COUNTIF($J26:$M26,1)*SUMPRODUCT($I$4:$I$15,$K$4:$K$15),1),IF(LEFT(R$25)="3",IF(COUNTIF($J26:$L26,1)*SUMPRODUCT($I$4:$I$15,$K$4:$K$15)&lt;&gt;0,COUNTIF($J26:$L26,1)*SUMPRODUCT($I$4:$I$15,$K$4:$K$15),1),IF(LEFT(R$25)="2",IF(COUNTIF($J26:$K26,1)*SUMPRODUCT($I$4:$I$15,$K$4:$K$15)&lt;&gt;0,COUNTIF($J26:$K26,1)*SUMPRODUCT($I$4:$I$15,$K$4:$K$15),1),IF(LEFT(R$25)="1",IF(COUNTIF($J26:$J26,1)*SUMPRODUCT($I$4:$I$15,$K$4:$K$15)&lt;&gt;0,COUNTIF($J26:$J26,1)*SUMPRODUCT($I$4:$I$15,$K$4:$K$15),1)
)))))</f>
        <v>0</v>
      </c>
      <c r="S26" s="89">
        <f t="shared" ref="S26:S57" si="5">AZ26*VLOOKUP(MID(S$25,FIND(" ",S$25)+1,LEN(S$25)-3),$A$27:$E$38,7-_xlfn.NUMBERVALUE(LEFT(S$25)),FALSE)
*IF(LEFT(S$25)="5",IF(COUNTIF($J26:$N26,1)*SUMPRODUCT($I$4:$I$15,$K$4:$K$15)&lt;&gt;0,COUNTIF($J26:$N26,1)*SUMPRODUCT($I$4:$I$15,$K$4:$K$15),1),IF(LEFT(S$25)="4",IF(COUNTIF($J26:$M26,1)*SUMPRODUCT($I$4:$I$15,$K$4:$K$15)&lt;&gt;0,COUNTIF($J26:$M26,1)*SUMPRODUCT($I$4:$I$15,$K$4:$K$15),1),IF(LEFT(S$25)="3",IF(COUNTIF($J26:$L26,1)*SUMPRODUCT($I$4:$I$15,$K$4:$K$15)&lt;&gt;0,COUNTIF($J26:$L26,1)*SUMPRODUCT($I$4:$I$15,$K$4:$K$15),1),IF(LEFT(S$25)="2",IF(COUNTIF($J26:$K26,1)*SUMPRODUCT($I$4:$I$15,$K$4:$K$15)&lt;&gt;0,COUNTIF($J26:$K26,1)*SUMPRODUCT($I$4:$I$15,$K$4:$K$15),1),IF(LEFT(S$25)="1",IF(COUNTIF($J26:$J26,1)*SUMPRODUCT($I$4:$I$15,$K$4:$K$15)&lt;&gt;0,COUNTIF($J26:$J26,1)*SUMPRODUCT($I$4:$I$15,$K$4:$K$15),1)
)))))</f>
        <v>0</v>
      </c>
      <c r="T26" s="89">
        <f t="shared" ref="T26:T57" si="6">BA26*VLOOKUP(MID(T$25,FIND(" ",T$25)+1,LEN(T$25)-3),$A$27:$E$38,7-_xlfn.NUMBERVALUE(LEFT(T$25)),FALSE)
*IF(LEFT(T$25)="5",IF(COUNTIF($J26:$N26,1)*SUMPRODUCT($I$4:$I$15,$K$4:$K$15)&lt;&gt;0,COUNTIF($J26:$N26,1)*SUMPRODUCT($I$4:$I$15,$K$4:$K$15),1),IF(LEFT(T$25)="4",IF(COUNTIF($J26:$M26,1)*SUMPRODUCT($I$4:$I$15,$K$4:$K$15)&lt;&gt;0,COUNTIF($J26:$M26,1)*SUMPRODUCT($I$4:$I$15,$K$4:$K$15),1),IF(LEFT(T$25)="3",IF(COUNTIF($J26:$L26,1)*SUMPRODUCT($I$4:$I$15,$K$4:$K$15)&lt;&gt;0,COUNTIF($J26:$L26,1)*SUMPRODUCT($I$4:$I$15,$K$4:$K$15),1),IF(LEFT(T$25)="2",IF(COUNTIF($J26:$K26,1)*SUMPRODUCT($I$4:$I$15,$K$4:$K$15)&lt;&gt;0,COUNTIF($J26:$K26,1)*SUMPRODUCT($I$4:$I$15,$K$4:$K$15),1),IF(LEFT(T$25)="1",IF(COUNTIF($J26:$J26,1)*SUMPRODUCT($I$4:$I$15,$K$4:$K$15)&lt;&gt;0,COUNTIF($J26:$J26,1)*SUMPRODUCT($I$4:$I$15,$K$4:$K$15),1)
)))))</f>
        <v>0</v>
      </c>
      <c r="U26" s="89">
        <f>BB26*VLOOKUP(MID(U$25,FIND(" ",U$25)+1,LEN(U$25)-3),$A$27:$E$38,7-_xlfn.NUMBERVALUE(LEFT(U$25)),FALSE)</f>
        <v>62500</v>
      </c>
      <c r="V26" s="89">
        <f t="shared" ref="V26:AX26" si="7">BC26*VLOOKUP(MID(V$25,FIND(" ",V$25)+1,LEN(V$25)-3),$A$27:$E$38,7-_xlfn.NUMBERVALUE(LEFT(V$25)),FALSE)</f>
        <v>343750</v>
      </c>
      <c r="W26" s="89">
        <f t="shared" si="7"/>
        <v>2062500</v>
      </c>
      <c r="X26" s="89">
        <f t="shared" si="7"/>
        <v>38880</v>
      </c>
      <c r="Y26" s="89">
        <f t="shared" si="7"/>
        <v>209952</v>
      </c>
      <c r="Z26" s="89">
        <f t="shared" si="7"/>
        <v>1399680</v>
      </c>
      <c r="AA26" s="89">
        <f t="shared" si="7"/>
        <v>23328</v>
      </c>
      <c r="AB26" s="89">
        <f t="shared" si="7"/>
        <v>139968</v>
      </c>
      <c r="AC26" s="89">
        <f t="shared" si="7"/>
        <v>699840</v>
      </c>
      <c r="AD26" s="89">
        <f t="shared" si="7"/>
        <v>15552</v>
      </c>
      <c r="AE26" s="89">
        <f t="shared" si="7"/>
        <v>69984</v>
      </c>
      <c r="AF26" s="89">
        <f t="shared" si="7"/>
        <v>349920</v>
      </c>
      <c r="AG26" s="89">
        <f t="shared" si="7"/>
        <v>7776</v>
      </c>
      <c r="AH26" s="89">
        <f t="shared" si="7"/>
        <v>34992</v>
      </c>
      <c r="AI26" s="89">
        <f t="shared" si="7"/>
        <v>139968</v>
      </c>
      <c r="AJ26" s="89">
        <f t="shared" si="7"/>
        <v>2250</v>
      </c>
      <c r="AK26" s="89">
        <f t="shared" si="7"/>
        <v>9900</v>
      </c>
      <c r="AL26" s="89">
        <f t="shared" si="7"/>
        <v>48600</v>
      </c>
      <c r="AM26" s="89">
        <f t="shared" si="7"/>
        <v>3888</v>
      </c>
      <c r="AN26" s="89">
        <f t="shared" si="7"/>
        <v>13996.800000000001</v>
      </c>
      <c r="AO26" s="89">
        <f t="shared" si="7"/>
        <v>69984</v>
      </c>
      <c r="AP26" s="89">
        <f t="shared" si="7"/>
        <v>3888</v>
      </c>
      <c r="AQ26" s="89">
        <f t="shared" si="7"/>
        <v>13996.800000000001</v>
      </c>
      <c r="AR26" s="89">
        <f t="shared" si="7"/>
        <v>69984</v>
      </c>
      <c r="AS26" s="89">
        <f t="shared" si="7"/>
        <v>3888</v>
      </c>
      <c r="AT26" s="89">
        <f t="shared" si="7"/>
        <v>13996.800000000001</v>
      </c>
      <c r="AU26" s="89">
        <f t="shared" si="7"/>
        <v>69984</v>
      </c>
      <c r="AV26" s="89">
        <f t="shared" si="7"/>
        <v>3888</v>
      </c>
      <c r="AW26" s="89">
        <f t="shared" si="7"/>
        <v>13996.800000000001</v>
      </c>
      <c r="AX26" s="89">
        <f t="shared" si="7"/>
        <v>69984</v>
      </c>
      <c r="AY26" s="89">
        <f>CF26*CG26*CH26*CI26*CJ26</f>
        <v>0</v>
      </c>
      <c r="AZ26" s="52">
        <f t="shared" ref="AZ26:AZ57" si="8">CF26*CG26*CH26*CI26*(
+IF(C$28&gt;B$29,CO26,0)
+IF(C$28&gt;B$30,CT26,0)
+IF(C$28&gt;B$31,CY26,0)
+IF(C$28&gt;B$32,DD26,0)
+IF(C$28&gt;B$34,DN26,0)
+IF(C$28&gt;B$35,DS26,0)
+IF(C$28&gt;B$36,DX26,0)
+IF(C$28&gt;B$37,EC26,0)
+IF(C$28&gt;B$38,EH26,0)
+EM26)</f>
        <v>0</v>
      </c>
      <c r="BA26" s="90">
        <f t="shared" ref="BA26:BA57" si="9">CF26*CG26*CH26*(
+IF(D$28&gt;B$29,CN26*(CO26+CJ26),IF(D$28&gt;C$29,CN26*(ER26-CO26-CJ26),0))
+IF(D$28&gt;B$30,CS26*(CT26+CJ26),IF(D$28&gt;C$30,CS26*(ER26-CT26-CJ26),0))
+IF(D$28&gt;B$31,CX26*(CY26+CJ26),IF(D$28&gt;C$31,CX26*(ER26-CY26-CJ26),0))
+IF(D$28&gt;B$32,DC26*(DD26+CJ26),IF(D$28&gt;C$32,DC26*(ER26-DD26-CJ26),0))
+IF(D$28&gt;B$34,DM26*(DN26+CJ26),IF(D$28&gt;C$34,DM26*(ER26-DN26-CJ26),0))
+IF(D$28&gt;B$35,DR26*(DS26+CJ26),IF(D$28&gt;C$35,DR26*(ER26-DS26-CJ26),0))
+IF(D$28&gt;B$36,DW26*(DX26+CJ26),IF(D$28&gt;C$36,DW26*(ER26-DX26-CJ26),0))
+IF(D$28&gt;B$37,EB26*(EC26+CJ26),IF(D$28&gt;C$37,EB26*(ER26-EC26-CJ26),0))
+IF(D$28&gt;B$38,EG26*(EH26+CJ26),IF(D$28&gt;C$38,EG26*(ER26-EH26-CJ26),0))
+EL26*ER26)</f>
        <v>0</v>
      </c>
      <c r="BB26" s="52">
        <f>((CK26+CF26)*(CL26+CG26)*(CM26+CH26)*(CN26+CI26)*(CO26+CJ26))</f>
        <v>3125</v>
      </c>
      <c r="BC26" s="52">
        <f t="shared" ref="BC26:BC57" si="10">((CK26+CF26)*(CL26+CG26)*(CM26+CH26)*(CN26+CI26)-CF26*CG26*IF($E$28&gt;$C$29,(CM26+CH26)*(CN26+CI26),IF($D$28&gt;$C$29,CH26*(CN26+CI26),CH26*CI26)))*(ER26-CO26-CJ26)</f>
        <v>34375</v>
      </c>
      <c r="BD26" s="52">
        <f t="shared" ref="BD26:BD57" si="11">((CK26+CF26)*(CL26+CG26)*(CM26+CH26)-CF26*CG26*(CH26+IF($E$28&gt;$D$29,CM26,0)))*(EQ26-CN26-CI26)*ER26</f>
        <v>412500</v>
      </c>
      <c r="BE26" s="52">
        <f t="shared" ref="BE26:BE57" si="12">((CP26+CF26)*(CQ26+CG26)*(CR26+CH26)*(CS26+CI26)*(CT26+CJ26)-CF26*CG26*CH26*IF($D$28&gt;$B$30,(CS26+CI26)*(CT26+CJ26),IF($C$28&gt;$B$30,CI26*(CT26+CJ26),CI26*CJ26)))</f>
        <v>7776</v>
      </c>
      <c r="BF26" s="52">
        <f t="shared" ref="BF26:BF57" si="13">((CP26+CF26)*(CQ26+CG26)*(CR26+CH26)*(CS26+CI26)-CF26*CG26*IF($E$28&gt;$C$30,(CR26+CH26)*(CS26+CI26),IF($D$28&gt;$C$30,CH26*(CS26+CI26),CH26*CI26)))*(ER26-CT26-CJ26)</f>
        <v>69984</v>
      </c>
      <c r="BG26" s="90">
        <f t="shared" ref="BG26:BG57" si="14">((CP26+CF26)*(CQ26+CG26)*(CR26+CH26)-CF26*CG26*(CH26+IF($E$28&gt;$D$30,CR26,0)))*(EQ26-CS26-CI26)*ER26</f>
        <v>699840</v>
      </c>
      <c r="BH26" s="52">
        <f t="shared" ref="BH26:BH57" si="15">((CU26+CF26)*(CV26+CG26)*(CW26+CH26)*(CX26+CI26)*(CY26+CJ26)-CF26*CG26*CH26*IF($D$28&gt;$B$31,(CX26+CI26)*(CY26+CJ26),IF($C$28&gt;$B$31,CI26*(CY26+CJ26),CI26*CJ26)))</f>
        <v>7776</v>
      </c>
      <c r="BI26" s="52">
        <f t="shared" ref="BI26:BI57" si="16">((CU26+CF26)*(CV26+CG26)*(CW26+CH26)*(CX26+CI26)-CF26*CG26*IF($E$28&gt;$C$31,(CW26+CH26)*(CX26+CI26),IF($D$28&gt;$C$31,CH26*(CX26+CI26),CH26*CI26)))*(ER26-CY26-CJ26)</f>
        <v>69984</v>
      </c>
      <c r="BJ26" s="92">
        <f t="shared" ref="BJ26:BJ57" si="17">((CU26+CF26)*(CV26+CG26)*(CW26+CH26)-CF26*CG26*(CH26+IF($E$28&gt;$D$31,CW26,0)))*(EQ26-CX26-CI26)*ER26</f>
        <v>699840</v>
      </c>
      <c r="BK26" s="52">
        <f t="shared" ref="BK26:BK57" si="18">((CZ26+CF26)*(DA26+CG26)*(DB26+CH26)*(DC26+CI26)*(DD26+CJ26)-CF26*CG26*CH26*IF($D$28&gt;$B$32,(DC26+CI26)*(DD26+CJ26),IF($C$28&gt;$B$32,CI26*(DD26+CJ26),CI26*CJ26)))</f>
        <v>7776</v>
      </c>
      <c r="BL26" s="52">
        <f t="shared" ref="BL26:BL57" si="19">((CZ26+CF26)*(DA26+CG26)*(DB26+CH26)*(DC26+CI26)-CF26*CG26*IF($E$28&gt;$C$32,(DB26+CH26)*(DC26+CI26),IF($D$28&gt;$C$32,CH26*(DC26+CI26),CH26*CI26)))*(ER26-DD26-CJ26)</f>
        <v>69984</v>
      </c>
      <c r="BM26" s="92">
        <f t="shared" ref="BM26:BM57" si="20">((CZ26+CF26)*(DA26+CG26)*(DB26+CH26)-CF26*CG26*(CH26+IF($E$28&gt;$D$32,DB26,0)))*(EQ26-DC26-CI26)*ER26</f>
        <v>699840</v>
      </c>
      <c r="BN26" s="92">
        <f>((DE26+CF26)*(DF26+CG26)*(DG26+CH26)*(DH26+CI26)*(DI26+CJ26)-CF26*CG26*CH26*IF($D$28&gt;$B$33,(DH26+CI26)*(DI26+CJ26),IF($C$28&gt;$B$33,CI26*(DI26+CJ26),CI26*CJ26)))</f>
        <v>7776</v>
      </c>
      <c r="BO26" s="92">
        <f>((DE26+CF26)*(DF26+CG26)*(DG26+CH26)*(DH26+CI26)-CF26*CG26*IF($E$28&gt;$C$33,(DG26+CH26)*(DH26+CI26),IF($D$28&gt;$C$33,CH26*(DH26+CI26),CH26*CI26)))*(ER26-DI26-CJ26)</f>
        <v>69984</v>
      </c>
      <c r="BP26" s="92">
        <f>((DE26+CF26)*(DF26+CG26)*(DG26+CH26)-CF26*CG26*(CH26+IF($E$28&gt;$D$33,DG26,0)))*(EQ26-DH26-CI26)*ER26</f>
        <v>699840</v>
      </c>
      <c r="BQ26" s="52">
        <f t="shared" ref="BQ26:BQ57" si="21">((DJ26+CF26)*(DK26+CG26)*(DL26+CH26)*(DM26+CI26)*(DN26+CJ26)-CF26*CG26*CH26*IF($D$28&gt;$B$34,(DM26+CI26)*(DN26+CJ26),IF($C$28&gt;$B$34,CI26*(DN26+CJ26),CI26*CJ26)))</f>
        <v>4500</v>
      </c>
      <c r="BR26" s="52">
        <f t="shared" ref="BR26:BR57" si="22">((DJ26+CF26)*(DK26+CG26)*(DL26+CH26)*(DM26+CI26)-CF26*CG26*IF($E$28&gt;$C$34,(DL26+CH26)*(DM26+CI26),IF($D$28&gt;$C$34,CH26*(DM26+CI26),CH26*CI26)))*(ER26-DN26-CJ26)</f>
        <v>49500</v>
      </c>
      <c r="BS26" s="92">
        <f t="shared" ref="BS26:BS57" si="23">((DJ26+CF26)*(DK26+CG26)*(DL26+CH26)-CF26*CG26*(CH26+IF($E$28&gt;$D$34,DL26,0)))*(EQ26-DM26-CI26)*ER26</f>
        <v>486000</v>
      </c>
      <c r="BT26" s="52">
        <f t="shared" ref="BT26:BT57" si="24">((DO26+CF26)*(DP26+CG26)*(DQ26+CH26)*(DR26+CI26)*(DS26+CJ26)-CF26*CG26*CH26*IF($D$28&gt;$B$35,(DR26+CI26)*(DS26+CJ26),IF($C$28&gt;$B$35,CI26*(DS26+CJ26),CI26*CJ26)))</f>
        <v>7776</v>
      </c>
      <c r="BU26" s="52">
        <f t="shared" ref="BU26:BU57" si="25">((DO26+CF26)*(DP26+CG26)*(DQ26+CH26)*(DR26+CI26)-CF26*CG26*IF($E$28&gt;$C$35,(DQ26+CH26)*(DR26+CI26),IF($D$28&gt;$C$35,CH26*(DR26+CI26),CH26*CI26)))*(ER26-DS26-CJ26)</f>
        <v>69984</v>
      </c>
      <c r="BV26" s="90">
        <f t="shared" ref="BV26:BV57" si="26">((DO26+CF26)*(DP26+CG26)*(DQ26+CH26)-CF26*CG26*(CH26+IF($E$28&gt;$D$35,DQ26,0)))*(EQ26-DR26-CI26)*ER26</f>
        <v>699840</v>
      </c>
      <c r="BW26" s="52">
        <f t="shared" ref="BW26:BW57" si="27">((DT26+CF26)*(DU26+CG26)*(DV26+CH26)*(DW26+CI26)*(DX26+CJ26)-CF26*CG26*CH26*IF($D$28&gt;$B$36,(DW26+CI26)*(DX26+CJ26),IF($C$28&gt;$B$36,CI26*(DX26+CJ26),CI26*CJ26)))</f>
        <v>7776</v>
      </c>
      <c r="BX26" s="52">
        <f t="shared" ref="BX26:BX57" si="28">((DT26+CF26)*(DU26+CG26)*(DV26+CH26)*(DW26+CI26)-CF26*CG26*IF($E$28&gt;$C$36,(DV26+CH26)*(DW26+CI26),IF($D$28&gt;$C$36,CH26*(DW26+CI26),CH26*CI26)))*(ER26-DX26-CJ26)</f>
        <v>69984</v>
      </c>
      <c r="BY26" s="90">
        <f t="shared" ref="BY26:BY57" si="29">((DT26+CF26)*(DU26+CG26)*(DV26+CH26)-CF26*CG26*(CH26+IF($E$28&gt;$D$36,DV26,0)))*(EQ26-DW26-CI26)*ER26</f>
        <v>699840</v>
      </c>
      <c r="BZ26" s="52">
        <f t="shared" ref="BZ26:BZ57" si="30">((DY26+CF26)*(DZ26+CG26)*(EA26+CH26)*(EB26+CI26)*(EC26+CJ26)-CF26*CG26*CH26*IF($D$28&gt;$B$37,(EB26+CI26)*(EC26+CJ26),IF($C$28&gt;$B$37,CI26*(EC26+CJ26),CI26*CJ26)))</f>
        <v>7776</v>
      </c>
      <c r="CA26" s="52">
        <f t="shared" ref="CA26:CA57" si="31">((DY26+CF26)*(DZ26+CG26)*(EA26+CH26)*(EB26+CI26)-CF26*CG26*IF($E$28&gt;$C$37,(EA26+CH26)*(EB26+CI26),IF($D$28&gt;$C$37,CH26*(EB26+CI26),CH26*CI26)))*(ER26-EC26-CJ26)</f>
        <v>69984</v>
      </c>
      <c r="CB26" s="90">
        <f t="shared" ref="CB26:CB57" si="32">((DY26+CF26)*(DZ26+CG26)*(EA26+CH26)-CF26*CG26*(CH26+IF($E$28&gt;$D$37,EA26,0)))*(EQ26-EB26-CI26)*ER26</f>
        <v>699840</v>
      </c>
      <c r="CC26" s="52">
        <f t="shared" ref="CC26:CC57" si="33">((ED26+CF26)*(EE26+CG26)*(EF26+CH26)*(EG26+CI26)*(EH26+CJ26)-CF26*CG26*CH26*IF($D$28&gt;$B$38,(EG26+CI26)*(EH26+CJ26),IF($C$28&gt;$B$38,CI26*(EH26+CJ26),CI26*CJ26)))</f>
        <v>7776</v>
      </c>
      <c r="CD26" s="52">
        <f t="shared" ref="CD26:CD57" si="34">((ED26+CF26)*(EE26+CG26)*(EF26+CH26)*(EG26+CI26)-CF26*CG26*IF($E$28&gt;$C$38,(EF26+CH26)*(EG26+CI26),IF($D$28&gt;$C$38,CH26*(EG26+CI26),CH26*CI26)))*(ER26-EH26-CJ26)</f>
        <v>69984</v>
      </c>
      <c r="CE26" s="90">
        <f t="shared" ref="CE26:CE57" si="35">((ED26+CF26)*(EE26+CG26)*(EF26+CH26)-CF26*CG26*(CH26+IF($E$28&gt;$D$38,EF26,0)))*(EQ26-EG26-CI26)*ER26</f>
        <v>699840</v>
      </c>
      <c r="CF26" s="95">
        <f t="shared" ref="CF26:CJ57" si="36">IF(J26=1,1,B$42)</f>
        <v>0</v>
      </c>
      <c r="CG26" s="97">
        <f t="shared" si="36"/>
        <v>0</v>
      </c>
      <c r="CH26" s="97">
        <f t="shared" si="36"/>
        <v>0</v>
      </c>
      <c r="CI26" s="97">
        <f t="shared" si="36"/>
        <v>0</v>
      </c>
      <c r="CJ26" s="97">
        <f t="shared" si="36"/>
        <v>0</v>
      </c>
      <c r="CK26" s="96">
        <f t="shared" ref="CK26:CO57" si="37">IF(J26=1,0,B$43)</f>
        <v>5</v>
      </c>
      <c r="CL26" s="96">
        <f t="shared" si="37"/>
        <v>5</v>
      </c>
      <c r="CM26" s="96">
        <f t="shared" si="37"/>
        <v>5</v>
      </c>
      <c r="CN26" s="96">
        <f t="shared" si="37"/>
        <v>5</v>
      </c>
      <c r="CO26" s="96">
        <f t="shared" si="37"/>
        <v>5</v>
      </c>
      <c r="CP26" s="96">
        <f t="shared" ref="CP26:CT57" si="38">IF(J26=1,0,B$44)</f>
        <v>6</v>
      </c>
      <c r="CQ26" s="96">
        <f t="shared" si="38"/>
        <v>6</v>
      </c>
      <c r="CR26" s="96">
        <f t="shared" si="38"/>
        <v>6</v>
      </c>
      <c r="CS26" s="96">
        <f t="shared" si="38"/>
        <v>6</v>
      </c>
      <c r="CT26" s="96">
        <f t="shared" si="38"/>
        <v>6</v>
      </c>
      <c r="CU26" s="96">
        <f t="shared" ref="CU26:CY57" si="39">IF(J26=1,0,B$45)</f>
        <v>6</v>
      </c>
      <c r="CV26" s="96">
        <f t="shared" si="39"/>
        <v>6</v>
      </c>
      <c r="CW26" s="96">
        <f t="shared" si="39"/>
        <v>6</v>
      </c>
      <c r="CX26" s="96">
        <f t="shared" si="39"/>
        <v>6</v>
      </c>
      <c r="CY26" s="96">
        <f t="shared" si="39"/>
        <v>6</v>
      </c>
      <c r="CZ26" s="96">
        <f t="shared" ref="CZ26:DD57" si="40">IF(J26=1,0,B$46)</f>
        <v>6</v>
      </c>
      <c r="DA26" s="96">
        <f t="shared" si="40"/>
        <v>6</v>
      </c>
      <c r="DB26" s="96">
        <f t="shared" si="40"/>
        <v>6</v>
      </c>
      <c r="DC26" s="96">
        <f t="shared" si="40"/>
        <v>6</v>
      </c>
      <c r="DD26" s="96">
        <f t="shared" si="40"/>
        <v>6</v>
      </c>
      <c r="DE26" s="96">
        <f>IF(J26=1,0,B$47)</f>
        <v>6</v>
      </c>
      <c r="DF26" s="96">
        <f>IF(K26=1,0,C$47)</f>
        <v>6</v>
      </c>
      <c r="DG26" s="96">
        <f>IF(L26=1,0,D$47)</f>
        <v>6</v>
      </c>
      <c r="DH26" s="96">
        <f>IF(M26=1,0,E$47)</f>
        <v>6</v>
      </c>
      <c r="DI26" s="96">
        <f>IF(N26=1,0,F$47)</f>
        <v>6</v>
      </c>
      <c r="DJ26" s="96">
        <f t="shared" ref="DJ26:DN57" si="41">IF(J26=1,0,B$48)</f>
        <v>5</v>
      </c>
      <c r="DK26" s="96">
        <f t="shared" si="41"/>
        <v>6</v>
      </c>
      <c r="DL26" s="96">
        <f t="shared" si="41"/>
        <v>5</v>
      </c>
      <c r="DM26" s="96">
        <f t="shared" si="41"/>
        <v>6</v>
      </c>
      <c r="DN26" s="96">
        <f t="shared" si="41"/>
        <v>5</v>
      </c>
      <c r="DO26" s="96">
        <f t="shared" ref="DO26:DS57" si="42">IF(J26=1,0,B$49)</f>
        <v>6</v>
      </c>
      <c r="DP26" s="96">
        <f t="shared" si="42"/>
        <v>6</v>
      </c>
      <c r="DQ26" s="96">
        <f t="shared" si="42"/>
        <v>6</v>
      </c>
      <c r="DR26" s="96">
        <f t="shared" si="42"/>
        <v>6</v>
      </c>
      <c r="DS26" s="96">
        <f t="shared" si="42"/>
        <v>6</v>
      </c>
      <c r="DT26" s="96">
        <f t="shared" ref="DT26:DX57" si="43">IF(J26=1,0,B$50)</f>
        <v>6</v>
      </c>
      <c r="DU26" s="96">
        <f t="shared" si="43"/>
        <v>6</v>
      </c>
      <c r="DV26" s="96">
        <f t="shared" si="43"/>
        <v>6</v>
      </c>
      <c r="DW26" s="96">
        <f t="shared" si="43"/>
        <v>6</v>
      </c>
      <c r="DX26" s="96">
        <f t="shared" si="43"/>
        <v>6</v>
      </c>
      <c r="DY26" s="97">
        <f t="shared" ref="DY26:EC57" si="44">IF(J26=1,0,B$51)</f>
        <v>6</v>
      </c>
      <c r="DZ26" s="97">
        <f t="shared" si="44"/>
        <v>6</v>
      </c>
      <c r="EA26" s="97">
        <f t="shared" si="44"/>
        <v>6</v>
      </c>
      <c r="EB26" s="97">
        <f t="shared" si="44"/>
        <v>6</v>
      </c>
      <c r="EC26" s="97">
        <f t="shared" si="44"/>
        <v>6</v>
      </c>
      <c r="ED26" s="96">
        <f t="shared" ref="ED26:EH57" si="45">IF(J26=1,0,B$52)</f>
        <v>6</v>
      </c>
      <c r="EE26" s="96">
        <f t="shared" si="45"/>
        <v>6</v>
      </c>
      <c r="EF26" s="96">
        <f t="shared" si="45"/>
        <v>6</v>
      </c>
      <c r="EG26" s="96">
        <f t="shared" si="45"/>
        <v>6</v>
      </c>
      <c r="EH26" s="96">
        <f t="shared" si="45"/>
        <v>6</v>
      </c>
      <c r="EI26" s="96">
        <f t="shared" ref="EI26:EM57" si="46">IF(J26=1,0,B$53)</f>
        <v>1</v>
      </c>
      <c r="EJ26" s="96">
        <f t="shared" si="46"/>
        <v>0</v>
      </c>
      <c r="EK26" s="96">
        <f t="shared" si="46"/>
        <v>1</v>
      </c>
      <c r="EL26" s="96">
        <f t="shared" si="46"/>
        <v>0</v>
      </c>
      <c r="EM26" s="115">
        <f t="shared" si="46"/>
        <v>1</v>
      </c>
      <c r="EN26" s="98">
        <f>CF26+CK26+CP26+CU26+CZ26+DE26+DJ26+DO26+DT26+DY26+ED26+EI26+IF(CF26=0,B$54,0)</f>
        <v>60</v>
      </c>
      <c r="EO26" s="98">
        <f>CG26+CL26+CQ26+CV26+DA26+DF26+DK26+DP26+DU26+DZ26+EE26+EJ26+IF(CG26=0,C$54,0)</f>
        <v>60</v>
      </c>
      <c r="EP26" s="98">
        <f>CH26+CM26+CR26+CW26+DB26+DG26+DL26+DQ26+DV26+EA26+EF26+EK26+IF(CH26=0,D$54,0)</f>
        <v>60</v>
      </c>
      <c r="EQ26" s="98">
        <f>CI26+CN26+CS26+CX26+DC26+DH26+DM26+DR26+DW26+EB26+EG26+EL26+IF(CI26=0,E$54,0)</f>
        <v>60</v>
      </c>
      <c r="ER26" s="98">
        <f>CJ26+CO26+CT26+CY26+DD26+DI26+DN26+DS26+DX26+EC26+EH26+EM26+IF(CJ26=0,F$54,0)</f>
        <v>60</v>
      </c>
      <c r="ES26" s="21"/>
    </row>
    <row r="27" spans="1:149" ht="17" thickBot="1" x14ac:dyDescent="0.25">
      <c r="A27" s="85" t="s">
        <v>76</v>
      </c>
      <c r="B27" s="86" t="s">
        <v>77</v>
      </c>
      <c r="C27" s="86" t="s">
        <v>78</v>
      </c>
      <c r="D27" s="86" t="s">
        <v>79</v>
      </c>
      <c r="E27" s="87" t="s">
        <v>80</v>
      </c>
      <c r="I27" s="88">
        <f>I26+1</f>
        <v>1</v>
      </c>
      <c r="J27" s="27">
        <v>0</v>
      </c>
      <c r="K27">
        <v>0</v>
      </c>
      <c r="L27">
        <v>0</v>
      </c>
      <c r="M27">
        <v>0</v>
      </c>
      <c r="N27">
        <v>1</v>
      </c>
      <c r="O27">
        <f t="shared" si="3"/>
        <v>5.883889531893003E-2</v>
      </c>
      <c r="P27" s="74">
        <f t="shared" ref="P27:P57" si="47">SUM(J27:N27)</f>
        <v>1</v>
      </c>
      <c r="Q27" s="114">
        <f t="shared" ref="Q27:Q56" si="48">SUM(R27:AX27)/PRODUCT(EN27:ER27)</f>
        <v>8.704120370370369E-3</v>
      </c>
      <c r="R27" s="89">
        <f t="shared" si="4"/>
        <v>0</v>
      </c>
      <c r="S27" s="52">
        <f t="shared" si="5"/>
        <v>0</v>
      </c>
      <c r="T27" s="90">
        <f t="shared" si="6"/>
        <v>0</v>
      </c>
      <c r="U27" s="89">
        <f t="shared" ref="U27:U57" si="49">BB27*VLOOKUP(MID(U$25,FIND(" ",U$25)+1,LEN(U$25)-3),$A$27:$E$38,7-_xlfn.NUMBERVALUE(LEFT(U$25)),FALSE)</f>
        <v>12500</v>
      </c>
      <c r="V27" s="89">
        <f t="shared" ref="V27:V57" si="50">BC27*VLOOKUP(MID(V$25,FIND(" ",V$25)+1,LEN(V$25)-3),$A$27:$E$38,7-_xlfn.NUMBERVALUE(LEFT(V$25)),FALSE)</f>
        <v>0</v>
      </c>
      <c r="W27" s="89">
        <f t="shared" ref="W27:W57" si="51">BD27*VLOOKUP(MID(W$25,FIND(" ",W$25)+1,LEN(W$25)-3),$A$27:$E$38,7-_xlfn.NUMBERVALUE(LEFT(W$25)),FALSE)</f>
        <v>34375</v>
      </c>
      <c r="X27" s="89">
        <f t="shared" ref="X27:X57" si="52">BE27*VLOOKUP(MID(X$25,FIND(" ",X$25)+1,LEN(X$25)-3),$A$27:$E$38,7-_xlfn.NUMBERVALUE(LEFT(X$25)),FALSE)</f>
        <v>6480</v>
      </c>
      <c r="Y27" s="89">
        <f t="shared" ref="Y27:Y57" si="53">BF27*VLOOKUP(MID(Y$25,FIND(" ",Y$25)+1,LEN(Y$25)-3),$A$27:$E$38,7-_xlfn.NUMBERVALUE(LEFT(Y$25)),FALSE)</f>
        <v>0</v>
      </c>
      <c r="Z27" s="89">
        <f t="shared" ref="Z27:Z57" si="54">BG27*VLOOKUP(MID(Z$25,FIND(" ",Z$25)+1,LEN(Z$25)-3),$A$27:$E$38,7-_xlfn.NUMBERVALUE(LEFT(Z$25)),FALSE)</f>
        <v>23328</v>
      </c>
      <c r="AA27" s="89">
        <f t="shared" ref="AA27:AA57" si="55">BH27*VLOOKUP(MID(AA$25,FIND(" ",AA$25)+1,LEN(AA$25)-3),$A$27:$E$38,7-_xlfn.NUMBERVALUE(LEFT(AA$25)),FALSE)</f>
        <v>3888</v>
      </c>
      <c r="AB27" s="89">
        <f t="shared" ref="AB27:AB57" si="56">BI27*VLOOKUP(MID(AB$25,FIND(" ",AB$25)+1,LEN(AB$25)-3),$A$27:$E$38,7-_xlfn.NUMBERVALUE(LEFT(AB$25)),FALSE)</f>
        <v>0</v>
      </c>
      <c r="AC27" s="89">
        <f t="shared" ref="AC27:AC57" si="57">BJ27*VLOOKUP(MID(AC$25,FIND(" ",AC$25)+1,LEN(AC$25)-3),$A$27:$E$38,7-_xlfn.NUMBERVALUE(LEFT(AC$25)),FALSE)</f>
        <v>11664</v>
      </c>
      <c r="AD27" s="89">
        <f t="shared" ref="AD27:AD57" si="58">BK27*VLOOKUP(MID(AD$25,FIND(" ",AD$25)+1,LEN(AD$25)-3),$A$27:$E$38,7-_xlfn.NUMBERVALUE(LEFT(AD$25)),FALSE)</f>
        <v>2592</v>
      </c>
      <c r="AE27" s="89">
        <f t="shared" ref="AE27:AE57" si="59">BL27*VLOOKUP(MID(AE$25,FIND(" ",AE$25)+1,LEN(AE$25)-3),$A$27:$E$38,7-_xlfn.NUMBERVALUE(LEFT(AE$25)),FALSE)</f>
        <v>0</v>
      </c>
      <c r="AF27" s="89">
        <f t="shared" ref="AF27:AF57" si="60">BM27*VLOOKUP(MID(AF$25,FIND(" ",AF$25)+1,LEN(AF$25)-3),$A$27:$E$38,7-_xlfn.NUMBERVALUE(LEFT(AF$25)),FALSE)</f>
        <v>5832</v>
      </c>
      <c r="AG27" s="89">
        <f t="shared" ref="AG27:AG56" si="61">BN27*VLOOKUP(MID(AG$25,FIND(" ",AG$25)+1,LEN(AG$25)-3),$A$27:$E$38,7-_xlfn.NUMBERVALUE(LEFT(AG$25)),FALSE)</f>
        <v>1296</v>
      </c>
      <c r="AH27" s="89">
        <f t="shared" ref="AH27:AH57" si="62">BO27*VLOOKUP(MID(AH$25,FIND(" ",AH$25)+1,LEN(AH$25)-3),$A$27:$E$38,7-_xlfn.NUMBERVALUE(LEFT(AH$25)),FALSE)</f>
        <v>0</v>
      </c>
      <c r="AI27" s="89">
        <f t="shared" ref="AI27:AI57" si="63">BP27*VLOOKUP(MID(AI$25,FIND(" ",AI$25)+1,LEN(AI$25)-3),$A$27:$E$38,7-_xlfn.NUMBERVALUE(LEFT(AI$25)),FALSE)</f>
        <v>2332.8000000000002</v>
      </c>
      <c r="AJ27" s="89">
        <f t="shared" ref="AJ27:AJ57" si="64">BQ27*VLOOKUP(MID(AJ$25,FIND(" ",AJ$25)+1,LEN(AJ$25)-3),$A$27:$E$38,7-_xlfn.NUMBERVALUE(LEFT(AJ$25)),FALSE)</f>
        <v>450</v>
      </c>
      <c r="AK27" s="89">
        <f t="shared" ref="AK27:AK57" si="65">BR27*VLOOKUP(MID(AK$25,FIND(" ",AK$25)+1,LEN(AK$25)-3),$A$27:$E$38,7-_xlfn.NUMBERVALUE(LEFT(AK$25)),FALSE)</f>
        <v>0</v>
      </c>
      <c r="AL27" s="89">
        <f t="shared" ref="AL27:AL57" si="66">BS27*VLOOKUP(MID(AL$25,FIND(" ",AL$25)+1,LEN(AL$25)-3),$A$27:$E$38,7-_xlfn.NUMBERVALUE(LEFT(AL$25)),FALSE)</f>
        <v>810</v>
      </c>
      <c r="AM27" s="89">
        <f t="shared" ref="AM27:AM57" si="67">BT27*VLOOKUP(MID(AM$25,FIND(" ",AM$25)+1,LEN(AM$25)-3),$A$27:$E$38,7-_xlfn.NUMBERVALUE(LEFT(AM$25)),FALSE)</f>
        <v>648</v>
      </c>
      <c r="AN27" s="89">
        <f t="shared" ref="AN27:AN57" si="68">BU27*VLOOKUP(MID(AN$25,FIND(" ",AN$25)+1,LEN(AN$25)-3),$A$27:$E$38,7-_xlfn.NUMBERVALUE(LEFT(AN$25)),FALSE)</f>
        <v>0</v>
      </c>
      <c r="AO27" s="89">
        <f t="shared" ref="AO27:AO57" si="69">BV27*VLOOKUP(MID(AO$25,FIND(" ",AO$25)+1,LEN(AO$25)-3),$A$27:$E$38,7-_xlfn.NUMBERVALUE(LEFT(AO$25)),FALSE)</f>
        <v>1166.4000000000001</v>
      </c>
      <c r="AP27" s="89">
        <f t="shared" ref="AP27:AP57" si="70">BW27*VLOOKUP(MID(AP$25,FIND(" ",AP$25)+1,LEN(AP$25)-3),$A$27:$E$38,7-_xlfn.NUMBERVALUE(LEFT(AP$25)),FALSE)</f>
        <v>648</v>
      </c>
      <c r="AQ27" s="89">
        <f t="shared" ref="AQ27:AQ57" si="71">BX27*VLOOKUP(MID(AQ$25,FIND(" ",AQ$25)+1,LEN(AQ$25)-3),$A$27:$E$38,7-_xlfn.NUMBERVALUE(LEFT(AQ$25)),FALSE)</f>
        <v>0</v>
      </c>
      <c r="AR27" s="89">
        <f t="shared" ref="AR27:AR57" si="72">BY27*VLOOKUP(MID(AR$25,FIND(" ",AR$25)+1,LEN(AR$25)-3),$A$27:$E$38,7-_xlfn.NUMBERVALUE(LEFT(AR$25)),FALSE)</f>
        <v>1166.4000000000001</v>
      </c>
      <c r="AS27" s="89">
        <f t="shared" ref="AS27:AS57" si="73">BZ27*VLOOKUP(MID(AS$25,FIND(" ",AS$25)+1,LEN(AS$25)-3),$A$27:$E$38,7-_xlfn.NUMBERVALUE(LEFT(AS$25)),FALSE)</f>
        <v>648</v>
      </c>
      <c r="AT27" s="89">
        <f t="shared" ref="AT27:AT57" si="74">CA27*VLOOKUP(MID(AT$25,FIND(" ",AT$25)+1,LEN(AT$25)-3),$A$27:$E$38,7-_xlfn.NUMBERVALUE(LEFT(AT$25)),FALSE)</f>
        <v>0</v>
      </c>
      <c r="AU27" s="89">
        <f t="shared" ref="AU27:AU57" si="75">CB27*VLOOKUP(MID(AU$25,FIND(" ",AU$25)+1,LEN(AU$25)-3),$A$27:$E$38,7-_xlfn.NUMBERVALUE(LEFT(AU$25)),FALSE)</f>
        <v>1166.4000000000001</v>
      </c>
      <c r="AV27" s="89">
        <f t="shared" ref="AV27:AV57" si="76">CC27*VLOOKUP(MID(AV$25,FIND(" ",AV$25)+1,LEN(AV$25)-3),$A$27:$E$38,7-_xlfn.NUMBERVALUE(LEFT(AV$25)),FALSE)</f>
        <v>648</v>
      </c>
      <c r="AW27" s="89">
        <f t="shared" ref="AW27:AW57" si="77">CD27*VLOOKUP(MID(AW$25,FIND(" ",AW$25)+1,LEN(AW$25)-3),$A$27:$E$38,7-_xlfn.NUMBERVALUE(LEFT(AW$25)),FALSE)</f>
        <v>0</v>
      </c>
      <c r="AX27" s="89">
        <f t="shared" ref="AX27:AX57" si="78">CE27*VLOOKUP(MID(AX$25,FIND(" ",AX$25)+1,LEN(AX$25)-3),$A$27:$E$38,7-_xlfn.NUMBERVALUE(LEFT(AX$25)),FALSE)</f>
        <v>1166.4000000000001</v>
      </c>
      <c r="AY27" s="89">
        <f t="shared" ref="AY27:AY57" si="79">CF27*CG27*CH27*CI27*CJ27</f>
        <v>0</v>
      </c>
      <c r="AZ27" s="52">
        <f t="shared" si="8"/>
        <v>0</v>
      </c>
      <c r="BA27" s="90">
        <f t="shared" si="9"/>
        <v>0</v>
      </c>
      <c r="BB27" s="91">
        <f t="shared" ref="BB27:BB56" si="80">((CK27+CF27)*(CL27+CG27)*(CM27+CH27)*(CN27+CI27)*(CO27+CJ27)-CF27*CG27*CH27*IF($D$28&gt;$B$29,(CN27+CI27)*(CO27+CJ27),IF($C$28&gt;$B$29,CI27*(CO27+CJ27),CI27*CJ27)))</f>
        <v>625</v>
      </c>
      <c r="BC27" s="91">
        <f t="shared" si="10"/>
        <v>0</v>
      </c>
      <c r="BD27" s="91">
        <f t="shared" si="11"/>
        <v>6875</v>
      </c>
      <c r="BE27" s="52">
        <f t="shared" si="12"/>
        <v>1296</v>
      </c>
      <c r="BF27" s="52">
        <f t="shared" si="13"/>
        <v>0</v>
      </c>
      <c r="BG27" s="90">
        <f t="shared" si="14"/>
        <v>11664</v>
      </c>
      <c r="BH27" s="52">
        <f t="shared" si="15"/>
        <v>1296</v>
      </c>
      <c r="BI27" s="52">
        <f t="shared" si="16"/>
        <v>0</v>
      </c>
      <c r="BJ27" s="92">
        <f t="shared" si="17"/>
        <v>11664</v>
      </c>
      <c r="BK27" s="91">
        <f t="shared" si="18"/>
        <v>1296</v>
      </c>
      <c r="BL27" s="91">
        <f t="shared" si="19"/>
        <v>0</v>
      </c>
      <c r="BM27" s="93">
        <f t="shared" si="20"/>
        <v>11664</v>
      </c>
      <c r="BN27" s="92">
        <f t="shared" ref="BN27:BN57" si="81">((DE27+CF27)*(DF27+CG27)*(DG27+CH27)*(DH27+CI27)*(DI27+CJ27)-CF27*CG27*CH27*IF($D$28&gt;$B$33,(DH27+CI27)*(DI27+CJ27),IF($C$28&gt;$B$33,CI27*(DI27+CJ27),CI27*CJ27)))</f>
        <v>1296</v>
      </c>
      <c r="BO27" s="92">
        <f t="shared" ref="BO27:BO57" si="82">((DE27+CF27)*(DF27+CG27)*(DG27+CH27)*(DH27+CI27)-CF27*CG27*IF($E$28&gt;$C$33,(DG27+CH27)*(DH27+CI27),IF($D$28&gt;$C$33,CH27*(DH27+CI27),CH27*CI27)))*(ER27-DI27-CJ27)</f>
        <v>0</v>
      </c>
      <c r="BP27" s="92">
        <f t="shared" ref="BP27:BP57" si="83">((DE27+CF27)*(DF27+CG27)*(DG27+CH27)-CF27*CG27*(CH27+IF($E$28&gt;$D$33,DG27,0)))*(EQ27-DH27-CI27)*ER27</f>
        <v>11664</v>
      </c>
      <c r="BQ27" s="91">
        <f t="shared" si="21"/>
        <v>900</v>
      </c>
      <c r="BR27" s="91">
        <f t="shared" si="22"/>
        <v>0</v>
      </c>
      <c r="BS27" s="93">
        <f t="shared" si="23"/>
        <v>8100</v>
      </c>
      <c r="BT27" s="91">
        <f t="shared" si="24"/>
        <v>1296</v>
      </c>
      <c r="BU27" s="91">
        <f t="shared" si="25"/>
        <v>0</v>
      </c>
      <c r="BV27" s="94">
        <f t="shared" si="26"/>
        <v>11664</v>
      </c>
      <c r="BW27" s="52">
        <f t="shared" si="27"/>
        <v>1296</v>
      </c>
      <c r="BX27" s="52">
        <f t="shared" si="28"/>
        <v>0</v>
      </c>
      <c r="BY27" s="90">
        <f t="shared" si="29"/>
        <v>11664</v>
      </c>
      <c r="BZ27" s="52">
        <f t="shared" si="30"/>
        <v>1296</v>
      </c>
      <c r="CA27" s="52">
        <f t="shared" si="31"/>
        <v>0</v>
      </c>
      <c r="CB27" s="90">
        <f t="shared" si="32"/>
        <v>11664</v>
      </c>
      <c r="CC27" s="52">
        <f t="shared" si="33"/>
        <v>1296</v>
      </c>
      <c r="CD27" s="52">
        <f t="shared" si="34"/>
        <v>0</v>
      </c>
      <c r="CE27" s="90">
        <f t="shared" si="35"/>
        <v>11664</v>
      </c>
      <c r="CF27" s="95">
        <f t="shared" si="36"/>
        <v>0</v>
      </c>
      <c r="CG27" s="97">
        <f t="shared" si="36"/>
        <v>0</v>
      </c>
      <c r="CH27" s="97">
        <f t="shared" si="36"/>
        <v>0</v>
      </c>
      <c r="CI27" s="97">
        <f t="shared" si="36"/>
        <v>0</v>
      </c>
      <c r="CJ27" s="97">
        <f t="shared" si="36"/>
        <v>1</v>
      </c>
      <c r="CK27" s="96">
        <f t="shared" si="37"/>
        <v>5</v>
      </c>
      <c r="CL27" s="96">
        <f t="shared" si="37"/>
        <v>5</v>
      </c>
      <c r="CM27" s="96">
        <f t="shared" si="37"/>
        <v>5</v>
      </c>
      <c r="CN27" s="96">
        <f t="shared" si="37"/>
        <v>5</v>
      </c>
      <c r="CO27" s="96">
        <f t="shared" si="37"/>
        <v>0</v>
      </c>
      <c r="CP27" s="96">
        <f t="shared" si="38"/>
        <v>6</v>
      </c>
      <c r="CQ27" s="96">
        <f t="shared" si="38"/>
        <v>6</v>
      </c>
      <c r="CR27" s="96">
        <f t="shared" si="38"/>
        <v>6</v>
      </c>
      <c r="CS27" s="96">
        <f t="shared" si="38"/>
        <v>6</v>
      </c>
      <c r="CT27" s="96">
        <f t="shared" si="38"/>
        <v>0</v>
      </c>
      <c r="CU27" s="96">
        <f t="shared" si="39"/>
        <v>6</v>
      </c>
      <c r="CV27" s="96">
        <f t="shared" si="39"/>
        <v>6</v>
      </c>
      <c r="CW27" s="96">
        <f t="shared" si="39"/>
        <v>6</v>
      </c>
      <c r="CX27" s="96">
        <f t="shared" si="39"/>
        <v>6</v>
      </c>
      <c r="CY27" s="96">
        <f t="shared" si="39"/>
        <v>0</v>
      </c>
      <c r="CZ27" s="96">
        <f t="shared" si="40"/>
        <v>6</v>
      </c>
      <c r="DA27" s="96">
        <f t="shared" si="40"/>
        <v>6</v>
      </c>
      <c r="DB27" s="96">
        <f t="shared" si="40"/>
        <v>6</v>
      </c>
      <c r="DC27" s="96">
        <f t="shared" si="40"/>
        <v>6</v>
      </c>
      <c r="DD27" s="96">
        <f t="shared" si="40"/>
        <v>0</v>
      </c>
      <c r="DE27" s="96">
        <f t="shared" ref="DE27:DI57" si="84">IF(J27=1,0,B$47)</f>
        <v>6</v>
      </c>
      <c r="DF27" s="96">
        <f t="shared" si="84"/>
        <v>6</v>
      </c>
      <c r="DG27" s="96">
        <f t="shared" si="84"/>
        <v>6</v>
      </c>
      <c r="DH27" s="96">
        <f t="shared" si="84"/>
        <v>6</v>
      </c>
      <c r="DI27" s="96">
        <f t="shared" si="84"/>
        <v>0</v>
      </c>
      <c r="DJ27" s="96">
        <f t="shared" si="41"/>
        <v>5</v>
      </c>
      <c r="DK27" s="96">
        <f t="shared" si="41"/>
        <v>6</v>
      </c>
      <c r="DL27" s="96">
        <f t="shared" si="41"/>
        <v>5</v>
      </c>
      <c r="DM27" s="96">
        <f t="shared" si="41"/>
        <v>6</v>
      </c>
      <c r="DN27" s="96">
        <f t="shared" si="41"/>
        <v>0</v>
      </c>
      <c r="DO27" s="96">
        <f t="shared" si="42"/>
        <v>6</v>
      </c>
      <c r="DP27" s="96">
        <f t="shared" si="42"/>
        <v>6</v>
      </c>
      <c r="DQ27" s="96">
        <f t="shared" si="42"/>
        <v>6</v>
      </c>
      <c r="DR27" s="96">
        <f t="shared" si="42"/>
        <v>6</v>
      </c>
      <c r="DS27" s="96">
        <f t="shared" si="42"/>
        <v>0</v>
      </c>
      <c r="DT27" s="96">
        <f t="shared" si="43"/>
        <v>6</v>
      </c>
      <c r="DU27" s="96">
        <f t="shared" si="43"/>
        <v>6</v>
      </c>
      <c r="DV27" s="96">
        <f t="shared" si="43"/>
        <v>6</v>
      </c>
      <c r="DW27" s="96">
        <f t="shared" si="43"/>
        <v>6</v>
      </c>
      <c r="DX27" s="96">
        <f t="shared" si="43"/>
        <v>0</v>
      </c>
      <c r="DY27" s="97">
        <f t="shared" si="44"/>
        <v>6</v>
      </c>
      <c r="DZ27" s="97">
        <f t="shared" si="44"/>
        <v>6</v>
      </c>
      <c r="EA27" s="97">
        <f t="shared" si="44"/>
        <v>6</v>
      </c>
      <c r="EB27" s="97">
        <f t="shared" si="44"/>
        <v>6</v>
      </c>
      <c r="EC27" s="97">
        <f t="shared" si="44"/>
        <v>0</v>
      </c>
      <c r="ED27" s="96">
        <f t="shared" si="45"/>
        <v>6</v>
      </c>
      <c r="EE27" s="96">
        <f t="shared" si="45"/>
        <v>6</v>
      </c>
      <c r="EF27" s="96">
        <f t="shared" si="45"/>
        <v>6</v>
      </c>
      <c r="EG27" s="96">
        <f t="shared" si="45"/>
        <v>6</v>
      </c>
      <c r="EH27" s="96">
        <f t="shared" si="45"/>
        <v>0</v>
      </c>
      <c r="EI27" s="96">
        <f t="shared" si="46"/>
        <v>1</v>
      </c>
      <c r="EJ27" s="96">
        <f t="shared" si="46"/>
        <v>0</v>
      </c>
      <c r="EK27" s="96">
        <f t="shared" si="46"/>
        <v>1</v>
      </c>
      <c r="EL27" s="96">
        <f t="shared" si="46"/>
        <v>0</v>
      </c>
      <c r="EM27" s="115">
        <f t="shared" si="46"/>
        <v>0</v>
      </c>
      <c r="EN27" s="98">
        <f t="shared" ref="EN27:ER57" si="85">CF27+CK27+CP27+CU27+CZ27+DE27+DJ27+DO27+DT27+DY27+ED27+EI27+IF(CF27=0,B$54,0)</f>
        <v>60</v>
      </c>
      <c r="EO27" s="98">
        <f t="shared" si="85"/>
        <v>60</v>
      </c>
      <c r="EP27" s="98">
        <f t="shared" si="85"/>
        <v>60</v>
      </c>
      <c r="EQ27" s="98">
        <f t="shared" si="85"/>
        <v>60</v>
      </c>
      <c r="ER27" s="98">
        <f t="shared" si="85"/>
        <v>1</v>
      </c>
    </row>
    <row r="28" spans="1:149" ht="17" thickBot="1" x14ac:dyDescent="0.25">
      <c r="A28" s="99" t="str">
        <f>'[1]Pay Table'!B4</f>
        <v>Wild</v>
      </c>
      <c r="B28" s="100">
        <v>0</v>
      </c>
      <c r="C28" s="100">
        <v>0</v>
      </c>
      <c r="D28" s="100">
        <v>0</v>
      </c>
      <c r="E28" s="101">
        <f>E29</f>
        <v>0</v>
      </c>
      <c r="I28" s="88">
        <f t="shared" ref="I28:I57" si="86">I27+1</f>
        <v>2</v>
      </c>
      <c r="J28" s="27">
        <v>0</v>
      </c>
      <c r="K28">
        <v>0</v>
      </c>
      <c r="L28">
        <v>0</v>
      </c>
      <c r="M28">
        <v>1</v>
      </c>
      <c r="N28">
        <v>0</v>
      </c>
      <c r="O28">
        <f t="shared" si="3"/>
        <v>5.8838895318930023E-2</v>
      </c>
      <c r="P28" s="74">
        <f t="shared" si="47"/>
        <v>1</v>
      </c>
      <c r="Q28" s="114">
        <f t="shared" si="48"/>
        <v>1.4295540123456787E-2</v>
      </c>
      <c r="R28" s="89">
        <f t="shared" si="4"/>
        <v>0</v>
      </c>
      <c r="S28" s="52">
        <f t="shared" si="5"/>
        <v>0</v>
      </c>
      <c r="T28" s="90">
        <f t="shared" si="6"/>
        <v>0</v>
      </c>
      <c r="U28" s="89">
        <f t="shared" si="49"/>
        <v>12500</v>
      </c>
      <c r="V28" s="89">
        <f t="shared" si="50"/>
        <v>68750</v>
      </c>
      <c r="W28" s="89">
        <f t="shared" si="51"/>
        <v>0</v>
      </c>
      <c r="X28" s="89">
        <f t="shared" si="52"/>
        <v>6480</v>
      </c>
      <c r="Y28" s="89">
        <f t="shared" si="53"/>
        <v>34992</v>
      </c>
      <c r="Z28" s="89">
        <f t="shared" si="54"/>
        <v>0</v>
      </c>
      <c r="AA28" s="89">
        <f t="shared" si="55"/>
        <v>3888</v>
      </c>
      <c r="AB28" s="89">
        <f t="shared" si="56"/>
        <v>23328</v>
      </c>
      <c r="AC28" s="89">
        <f t="shared" si="57"/>
        <v>0</v>
      </c>
      <c r="AD28" s="89">
        <f t="shared" si="58"/>
        <v>2592</v>
      </c>
      <c r="AE28" s="89">
        <f t="shared" si="59"/>
        <v>11664</v>
      </c>
      <c r="AF28" s="89">
        <f t="shared" si="60"/>
        <v>0</v>
      </c>
      <c r="AG28" s="89">
        <f t="shared" si="61"/>
        <v>1296</v>
      </c>
      <c r="AH28" s="89">
        <f t="shared" si="62"/>
        <v>5832</v>
      </c>
      <c r="AI28" s="89">
        <f t="shared" si="63"/>
        <v>0</v>
      </c>
      <c r="AJ28" s="89">
        <f t="shared" si="64"/>
        <v>375</v>
      </c>
      <c r="AK28" s="89">
        <f t="shared" si="65"/>
        <v>1650</v>
      </c>
      <c r="AL28" s="89">
        <f t="shared" si="66"/>
        <v>0</v>
      </c>
      <c r="AM28" s="89">
        <f t="shared" si="67"/>
        <v>648</v>
      </c>
      <c r="AN28" s="89">
        <f t="shared" si="68"/>
        <v>2332.8000000000002</v>
      </c>
      <c r="AO28" s="89">
        <f t="shared" si="69"/>
        <v>0</v>
      </c>
      <c r="AP28" s="89">
        <f t="shared" si="70"/>
        <v>648</v>
      </c>
      <c r="AQ28" s="89">
        <f t="shared" si="71"/>
        <v>2332.8000000000002</v>
      </c>
      <c r="AR28" s="89">
        <f t="shared" si="72"/>
        <v>0</v>
      </c>
      <c r="AS28" s="89">
        <f t="shared" si="73"/>
        <v>648</v>
      </c>
      <c r="AT28" s="89">
        <f t="shared" si="74"/>
        <v>2332.8000000000002</v>
      </c>
      <c r="AU28" s="89">
        <f t="shared" si="75"/>
        <v>0</v>
      </c>
      <c r="AV28" s="89">
        <f t="shared" si="76"/>
        <v>648</v>
      </c>
      <c r="AW28" s="89">
        <f t="shared" si="77"/>
        <v>2332.8000000000002</v>
      </c>
      <c r="AX28" s="89">
        <f t="shared" si="78"/>
        <v>0</v>
      </c>
      <c r="AY28" s="89">
        <f t="shared" si="79"/>
        <v>0</v>
      </c>
      <c r="AZ28" s="52">
        <f t="shared" si="8"/>
        <v>0</v>
      </c>
      <c r="BA28" s="90">
        <f t="shared" si="9"/>
        <v>0</v>
      </c>
      <c r="BB28" s="91">
        <f t="shared" si="80"/>
        <v>625</v>
      </c>
      <c r="BC28" s="91">
        <f t="shared" si="10"/>
        <v>6875</v>
      </c>
      <c r="BD28" s="91">
        <f t="shared" si="11"/>
        <v>0</v>
      </c>
      <c r="BE28" s="52">
        <f t="shared" si="12"/>
        <v>1296</v>
      </c>
      <c r="BF28" s="52">
        <f t="shared" si="13"/>
        <v>11664</v>
      </c>
      <c r="BG28" s="90">
        <f t="shared" si="14"/>
        <v>0</v>
      </c>
      <c r="BH28" s="52">
        <f t="shared" si="15"/>
        <v>1296</v>
      </c>
      <c r="BI28" s="52">
        <f t="shared" si="16"/>
        <v>11664</v>
      </c>
      <c r="BJ28" s="92">
        <f t="shared" si="17"/>
        <v>0</v>
      </c>
      <c r="BK28" s="91">
        <f t="shared" si="18"/>
        <v>1296</v>
      </c>
      <c r="BL28" s="91">
        <f t="shared" si="19"/>
        <v>11664</v>
      </c>
      <c r="BM28" s="93">
        <f t="shared" si="20"/>
        <v>0</v>
      </c>
      <c r="BN28" s="92">
        <f t="shared" si="81"/>
        <v>1296</v>
      </c>
      <c r="BO28" s="92">
        <f t="shared" si="82"/>
        <v>11664</v>
      </c>
      <c r="BP28" s="92">
        <f t="shared" si="83"/>
        <v>0</v>
      </c>
      <c r="BQ28" s="91">
        <f t="shared" si="21"/>
        <v>750</v>
      </c>
      <c r="BR28" s="91">
        <f t="shared" si="22"/>
        <v>8250</v>
      </c>
      <c r="BS28" s="93">
        <f t="shared" si="23"/>
        <v>0</v>
      </c>
      <c r="BT28" s="91">
        <f t="shared" si="24"/>
        <v>1296</v>
      </c>
      <c r="BU28" s="91">
        <f t="shared" si="25"/>
        <v>11664</v>
      </c>
      <c r="BV28" s="94">
        <f t="shared" si="26"/>
        <v>0</v>
      </c>
      <c r="BW28" s="52">
        <f t="shared" si="27"/>
        <v>1296</v>
      </c>
      <c r="BX28" s="52">
        <f t="shared" si="28"/>
        <v>11664</v>
      </c>
      <c r="BY28" s="90">
        <f t="shared" si="29"/>
        <v>0</v>
      </c>
      <c r="BZ28" s="52">
        <f t="shared" si="30"/>
        <v>1296</v>
      </c>
      <c r="CA28" s="52">
        <f t="shared" si="31"/>
        <v>11664</v>
      </c>
      <c r="CB28" s="90">
        <f t="shared" si="32"/>
        <v>0</v>
      </c>
      <c r="CC28" s="52">
        <f t="shared" si="33"/>
        <v>1296</v>
      </c>
      <c r="CD28" s="52">
        <f t="shared" si="34"/>
        <v>11664</v>
      </c>
      <c r="CE28" s="90">
        <f t="shared" si="35"/>
        <v>0</v>
      </c>
      <c r="CF28" s="95">
        <f t="shared" si="36"/>
        <v>0</v>
      </c>
      <c r="CG28" s="97">
        <f t="shared" si="36"/>
        <v>0</v>
      </c>
      <c r="CH28" s="97">
        <f t="shared" si="36"/>
        <v>0</v>
      </c>
      <c r="CI28" s="97">
        <f t="shared" si="36"/>
        <v>1</v>
      </c>
      <c r="CJ28" s="97">
        <f t="shared" si="36"/>
        <v>0</v>
      </c>
      <c r="CK28" s="96">
        <f t="shared" si="37"/>
        <v>5</v>
      </c>
      <c r="CL28" s="96">
        <f t="shared" si="37"/>
        <v>5</v>
      </c>
      <c r="CM28" s="96">
        <f t="shared" si="37"/>
        <v>5</v>
      </c>
      <c r="CN28" s="96">
        <f t="shared" si="37"/>
        <v>0</v>
      </c>
      <c r="CO28" s="96">
        <f t="shared" si="37"/>
        <v>5</v>
      </c>
      <c r="CP28" s="96">
        <f t="shared" si="38"/>
        <v>6</v>
      </c>
      <c r="CQ28" s="96">
        <f t="shared" si="38"/>
        <v>6</v>
      </c>
      <c r="CR28" s="96">
        <f t="shared" si="38"/>
        <v>6</v>
      </c>
      <c r="CS28" s="96">
        <f t="shared" si="38"/>
        <v>0</v>
      </c>
      <c r="CT28" s="96">
        <f t="shared" si="38"/>
        <v>6</v>
      </c>
      <c r="CU28" s="96">
        <f t="shared" si="39"/>
        <v>6</v>
      </c>
      <c r="CV28" s="96">
        <f t="shared" si="39"/>
        <v>6</v>
      </c>
      <c r="CW28" s="96">
        <f t="shared" si="39"/>
        <v>6</v>
      </c>
      <c r="CX28" s="96">
        <f t="shared" si="39"/>
        <v>0</v>
      </c>
      <c r="CY28" s="96">
        <f t="shared" si="39"/>
        <v>6</v>
      </c>
      <c r="CZ28" s="96">
        <f t="shared" si="40"/>
        <v>6</v>
      </c>
      <c r="DA28" s="96">
        <f t="shared" si="40"/>
        <v>6</v>
      </c>
      <c r="DB28" s="96">
        <f t="shared" si="40"/>
        <v>6</v>
      </c>
      <c r="DC28" s="96">
        <f t="shared" si="40"/>
        <v>0</v>
      </c>
      <c r="DD28" s="96">
        <f t="shared" si="40"/>
        <v>6</v>
      </c>
      <c r="DE28" s="96">
        <f t="shared" si="84"/>
        <v>6</v>
      </c>
      <c r="DF28" s="96">
        <f t="shared" si="84"/>
        <v>6</v>
      </c>
      <c r="DG28" s="96">
        <f t="shared" si="84"/>
        <v>6</v>
      </c>
      <c r="DH28" s="96">
        <f t="shared" si="84"/>
        <v>0</v>
      </c>
      <c r="DI28" s="96">
        <f t="shared" si="84"/>
        <v>6</v>
      </c>
      <c r="DJ28" s="96">
        <f t="shared" si="41"/>
        <v>5</v>
      </c>
      <c r="DK28" s="96">
        <f t="shared" si="41"/>
        <v>6</v>
      </c>
      <c r="DL28" s="96">
        <f t="shared" si="41"/>
        <v>5</v>
      </c>
      <c r="DM28" s="96">
        <f t="shared" si="41"/>
        <v>0</v>
      </c>
      <c r="DN28" s="96">
        <f t="shared" si="41"/>
        <v>5</v>
      </c>
      <c r="DO28" s="96">
        <f t="shared" si="42"/>
        <v>6</v>
      </c>
      <c r="DP28" s="96">
        <f t="shared" si="42"/>
        <v>6</v>
      </c>
      <c r="DQ28" s="96">
        <f t="shared" si="42"/>
        <v>6</v>
      </c>
      <c r="DR28" s="96">
        <f t="shared" si="42"/>
        <v>0</v>
      </c>
      <c r="DS28" s="96">
        <f t="shared" si="42"/>
        <v>6</v>
      </c>
      <c r="DT28" s="96">
        <f t="shared" si="43"/>
        <v>6</v>
      </c>
      <c r="DU28" s="96">
        <f t="shared" si="43"/>
        <v>6</v>
      </c>
      <c r="DV28" s="96">
        <f t="shared" si="43"/>
        <v>6</v>
      </c>
      <c r="DW28" s="96">
        <f t="shared" si="43"/>
        <v>0</v>
      </c>
      <c r="DX28" s="96">
        <f t="shared" si="43"/>
        <v>6</v>
      </c>
      <c r="DY28" s="97">
        <f t="shared" si="44"/>
        <v>6</v>
      </c>
      <c r="DZ28" s="97">
        <f t="shared" si="44"/>
        <v>6</v>
      </c>
      <c r="EA28" s="97">
        <f t="shared" si="44"/>
        <v>6</v>
      </c>
      <c r="EB28" s="97">
        <f t="shared" si="44"/>
        <v>0</v>
      </c>
      <c r="EC28" s="97">
        <f t="shared" si="44"/>
        <v>6</v>
      </c>
      <c r="ED28" s="96">
        <f t="shared" si="45"/>
        <v>6</v>
      </c>
      <c r="EE28" s="96">
        <f t="shared" si="45"/>
        <v>6</v>
      </c>
      <c r="EF28" s="96">
        <f t="shared" si="45"/>
        <v>6</v>
      </c>
      <c r="EG28" s="96">
        <f t="shared" si="45"/>
        <v>0</v>
      </c>
      <c r="EH28" s="96">
        <f t="shared" si="45"/>
        <v>6</v>
      </c>
      <c r="EI28" s="96">
        <f t="shared" si="46"/>
        <v>1</v>
      </c>
      <c r="EJ28" s="96">
        <f t="shared" si="46"/>
        <v>0</v>
      </c>
      <c r="EK28" s="96">
        <f t="shared" si="46"/>
        <v>1</v>
      </c>
      <c r="EL28" s="96">
        <f t="shared" si="46"/>
        <v>0</v>
      </c>
      <c r="EM28" s="115">
        <f t="shared" si="46"/>
        <v>1</v>
      </c>
      <c r="EN28" s="98">
        <f t="shared" si="85"/>
        <v>60</v>
      </c>
      <c r="EO28" s="98">
        <f t="shared" si="85"/>
        <v>60</v>
      </c>
      <c r="EP28" s="98">
        <f t="shared" si="85"/>
        <v>60</v>
      </c>
      <c r="EQ28" s="98">
        <f t="shared" si="85"/>
        <v>1</v>
      </c>
      <c r="ER28" s="98">
        <f t="shared" si="85"/>
        <v>60</v>
      </c>
    </row>
    <row r="29" spans="1:149" ht="17" thickBot="1" x14ac:dyDescent="0.25">
      <c r="A29" s="102" t="str">
        <f>'[1]Pay Table'!B5</f>
        <v>T1</v>
      </c>
      <c r="B29" s="103">
        <v>20</v>
      </c>
      <c r="C29" s="103">
        <v>10</v>
      </c>
      <c r="D29" s="103">
        <v>5</v>
      </c>
      <c r="E29" s="104">
        <f>'[1]Pay Table'!F5</f>
        <v>0</v>
      </c>
      <c r="I29" s="88">
        <f t="shared" si="86"/>
        <v>3</v>
      </c>
      <c r="J29" s="27">
        <v>0</v>
      </c>
      <c r="K29">
        <v>0</v>
      </c>
      <c r="L29">
        <v>0</v>
      </c>
      <c r="M29">
        <v>1</v>
      </c>
      <c r="N29">
        <v>1</v>
      </c>
      <c r="O29">
        <f t="shared" si="3"/>
        <v>5.348990483539093E-3</v>
      </c>
      <c r="P29" s="74">
        <f t="shared" si="47"/>
        <v>2</v>
      </c>
      <c r="Q29" s="114">
        <f t="shared" si="48"/>
        <v>2.4921296296296296E-2</v>
      </c>
      <c r="R29" s="89">
        <f t="shared" si="4"/>
        <v>0</v>
      </c>
      <c r="S29" s="52">
        <f t="shared" si="5"/>
        <v>0</v>
      </c>
      <c r="T29" s="90">
        <f t="shared" si="6"/>
        <v>0</v>
      </c>
      <c r="U29" s="89">
        <f t="shared" si="49"/>
        <v>2500</v>
      </c>
      <c r="V29" s="89">
        <f t="shared" si="50"/>
        <v>0</v>
      </c>
      <c r="W29" s="89">
        <f t="shared" si="51"/>
        <v>0</v>
      </c>
      <c r="X29" s="89">
        <f t="shared" si="52"/>
        <v>1080</v>
      </c>
      <c r="Y29" s="89">
        <f t="shared" si="53"/>
        <v>0</v>
      </c>
      <c r="Z29" s="89">
        <f t="shared" si="54"/>
        <v>0</v>
      </c>
      <c r="AA29" s="89">
        <f t="shared" si="55"/>
        <v>648</v>
      </c>
      <c r="AB29" s="89">
        <f t="shared" si="56"/>
        <v>0</v>
      </c>
      <c r="AC29" s="89">
        <f t="shared" si="57"/>
        <v>0</v>
      </c>
      <c r="AD29" s="89">
        <f t="shared" si="58"/>
        <v>432</v>
      </c>
      <c r="AE29" s="89">
        <f t="shared" si="59"/>
        <v>0</v>
      </c>
      <c r="AF29" s="89">
        <f t="shared" si="60"/>
        <v>0</v>
      </c>
      <c r="AG29" s="89">
        <f t="shared" si="61"/>
        <v>216</v>
      </c>
      <c r="AH29" s="89">
        <f t="shared" si="62"/>
        <v>0</v>
      </c>
      <c r="AI29" s="89">
        <f t="shared" si="63"/>
        <v>0</v>
      </c>
      <c r="AJ29" s="89">
        <f t="shared" si="64"/>
        <v>75</v>
      </c>
      <c r="AK29" s="89">
        <f t="shared" si="65"/>
        <v>0</v>
      </c>
      <c r="AL29" s="89">
        <f t="shared" si="66"/>
        <v>0</v>
      </c>
      <c r="AM29" s="89">
        <f t="shared" si="67"/>
        <v>108</v>
      </c>
      <c r="AN29" s="89">
        <f t="shared" si="68"/>
        <v>0</v>
      </c>
      <c r="AO29" s="89">
        <f t="shared" si="69"/>
        <v>0</v>
      </c>
      <c r="AP29" s="89">
        <f t="shared" si="70"/>
        <v>108</v>
      </c>
      <c r="AQ29" s="89">
        <f t="shared" si="71"/>
        <v>0</v>
      </c>
      <c r="AR29" s="89">
        <f t="shared" si="72"/>
        <v>0</v>
      </c>
      <c r="AS29" s="89">
        <f t="shared" si="73"/>
        <v>108</v>
      </c>
      <c r="AT29" s="89">
        <f t="shared" si="74"/>
        <v>0</v>
      </c>
      <c r="AU29" s="89">
        <f t="shared" si="75"/>
        <v>0</v>
      </c>
      <c r="AV29" s="89">
        <f t="shared" si="76"/>
        <v>108</v>
      </c>
      <c r="AW29" s="89">
        <f t="shared" si="77"/>
        <v>0</v>
      </c>
      <c r="AX29" s="89">
        <f t="shared" si="78"/>
        <v>0</v>
      </c>
      <c r="AY29" s="89">
        <f t="shared" si="79"/>
        <v>0</v>
      </c>
      <c r="AZ29" s="52">
        <f t="shared" si="8"/>
        <v>0</v>
      </c>
      <c r="BA29" s="90">
        <f t="shared" si="9"/>
        <v>0</v>
      </c>
      <c r="BB29" s="91">
        <f t="shared" si="80"/>
        <v>125</v>
      </c>
      <c r="BC29" s="91">
        <f t="shared" si="10"/>
        <v>0</v>
      </c>
      <c r="BD29" s="91">
        <f t="shared" si="11"/>
        <v>0</v>
      </c>
      <c r="BE29" s="52">
        <f t="shared" si="12"/>
        <v>216</v>
      </c>
      <c r="BF29" s="52">
        <f t="shared" si="13"/>
        <v>0</v>
      </c>
      <c r="BG29" s="90">
        <f t="shared" si="14"/>
        <v>0</v>
      </c>
      <c r="BH29" s="52">
        <f t="shared" si="15"/>
        <v>216</v>
      </c>
      <c r="BI29" s="52">
        <f t="shared" si="16"/>
        <v>0</v>
      </c>
      <c r="BJ29" s="92">
        <f t="shared" si="17"/>
        <v>0</v>
      </c>
      <c r="BK29" s="91">
        <f t="shared" si="18"/>
        <v>216</v>
      </c>
      <c r="BL29" s="91">
        <f t="shared" si="19"/>
        <v>0</v>
      </c>
      <c r="BM29" s="93">
        <f t="shared" si="20"/>
        <v>0</v>
      </c>
      <c r="BN29" s="92">
        <f t="shared" si="81"/>
        <v>216</v>
      </c>
      <c r="BO29" s="92">
        <f t="shared" si="82"/>
        <v>0</v>
      </c>
      <c r="BP29" s="92">
        <f t="shared" si="83"/>
        <v>0</v>
      </c>
      <c r="BQ29" s="91">
        <f t="shared" si="21"/>
        <v>150</v>
      </c>
      <c r="BR29" s="91">
        <f t="shared" si="22"/>
        <v>0</v>
      </c>
      <c r="BS29" s="93">
        <f t="shared" si="23"/>
        <v>0</v>
      </c>
      <c r="BT29" s="91">
        <f t="shared" si="24"/>
        <v>216</v>
      </c>
      <c r="BU29" s="91">
        <f t="shared" si="25"/>
        <v>0</v>
      </c>
      <c r="BV29" s="94">
        <f t="shared" si="26"/>
        <v>0</v>
      </c>
      <c r="BW29" s="52">
        <f t="shared" si="27"/>
        <v>216</v>
      </c>
      <c r="BX29" s="52">
        <f t="shared" si="28"/>
        <v>0</v>
      </c>
      <c r="BY29" s="90">
        <f t="shared" si="29"/>
        <v>0</v>
      </c>
      <c r="BZ29" s="52">
        <f t="shared" si="30"/>
        <v>216</v>
      </c>
      <c r="CA29" s="52">
        <f t="shared" si="31"/>
        <v>0</v>
      </c>
      <c r="CB29" s="90">
        <f t="shared" si="32"/>
        <v>0</v>
      </c>
      <c r="CC29" s="52">
        <f t="shared" si="33"/>
        <v>216</v>
      </c>
      <c r="CD29" s="52">
        <f t="shared" si="34"/>
        <v>0</v>
      </c>
      <c r="CE29" s="90">
        <f t="shared" si="35"/>
        <v>0</v>
      </c>
      <c r="CF29" s="95">
        <f t="shared" si="36"/>
        <v>0</v>
      </c>
      <c r="CG29" s="97">
        <f t="shared" si="36"/>
        <v>0</v>
      </c>
      <c r="CH29" s="97">
        <f t="shared" si="36"/>
        <v>0</v>
      </c>
      <c r="CI29" s="97">
        <f t="shared" si="36"/>
        <v>1</v>
      </c>
      <c r="CJ29" s="97">
        <f t="shared" si="36"/>
        <v>1</v>
      </c>
      <c r="CK29" s="96">
        <f t="shared" si="37"/>
        <v>5</v>
      </c>
      <c r="CL29" s="96">
        <f t="shared" si="37"/>
        <v>5</v>
      </c>
      <c r="CM29" s="96">
        <f t="shared" si="37"/>
        <v>5</v>
      </c>
      <c r="CN29" s="96">
        <f t="shared" si="37"/>
        <v>0</v>
      </c>
      <c r="CO29" s="96">
        <f t="shared" si="37"/>
        <v>0</v>
      </c>
      <c r="CP29" s="96">
        <f t="shared" si="38"/>
        <v>6</v>
      </c>
      <c r="CQ29" s="96">
        <f t="shared" si="38"/>
        <v>6</v>
      </c>
      <c r="CR29" s="96">
        <f t="shared" si="38"/>
        <v>6</v>
      </c>
      <c r="CS29" s="96">
        <f t="shared" si="38"/>
        <v>0</v>
      </c>
      <c r="CT29" s="96">
        <f t="shared" si="38"/>
        <v>0</v>
      </c>
      <c r="CU29" s="96">
        <f t="shared" si="39"/>
        <v>6</v>
      </c>
      <c r="CV29" s="96">
        <f t="shared" si="39"/>
        <v>6</v>
      </c>
      <c r="CW29" s="96">
        <f t="shared" si="39"/>
        <v>6</v>
      </c>
      <c r="CX29" s="96">
        <f t="shared" si="39"/>
        <v>0</v>
      </c>
      <c r="CY29" s="96">
        <f t="shared" si="39"/>
        <v>0</v>
      </c>
      <c r="CZ29" s="96">
        <f t="shared" si="40"/>
        <v>6</v>
      </c>
      <c r="DA29" s="96">
        <f t="shared" si="40"/>
        <v>6</v>
      </c>
      <c r="DB29" s="96">
        <f t="shared" si="40"/>
        <v>6</v>
      </c>
      <c r="DC29" s="96">
        <f t="shared" si="40"/>
        <v>0</v>
      </c>
      <c r="DD29" s="96">
        <f t="shared" si="40"/>
        <v>0</v>
      </c>
      <c r="DE29" s="96">
        <f t="shared" si="84"/>
        <v>6</v>
      </c>
      <c r="DF29" s="96">
        <f t="shared" si="84"/>
        <v>6</v>
      </c>
      <c r="DG29" s="96">
        <f t="shared" si="84"/>
        <v>6</v>
      </c>
      <c r="DH29" s="96">
        <f t="shared" si="84"/>
        <v>0</v>
      </c>
      <c r="DI29" s="96">
        <f t="shared" si="84"/>
        <v>0</v>
      </c>
      <c r="DJ29" s="96">
        <f t="shared" si="41"/>
        <v>5</v>
      </c>
      <c r="DK29" s="96">
        <f t="shared" si="41"/>
        <v>6</v>
      </c>
      <c r="DL29" s="96">
        <f t="shared" si="41"/>
        <v>5</v>
      </c>
      <c r="DM29" s="96">
        <f t="shared" si="41"/>
        <v>0</v>
      </c>
      <c r="DN29" s="96">
        <f t="shared" si="41"/>
        <v>0</v>
      </c>
      <c r="DO29" s="96">
        <f t="shared" si="42"/>
        <v>6</v>
      </c>
      <c r="DP29" s="96">
        <f t="shared" si="42"/>
        <v>6</v>
      </c>
      <c r="DQ29" s="96">
        <f t="shared" si="42"/>
        <v>6</v>
      </c>
      <c r="DR29" s="96">
        <f t="shared" si="42"/>
        <v>0</v>
      </c>
      <c r="DS29" s="96">
        <f t="shared" si="42"/>
        <v>0</v>
      </c>
      <c r="DT29" s="96">
        <f t="shared" si="43"/>
        <v>6</v>
      </c>
      <c r="DU29" s="96">
        <f t="shared" si="43"/>
        <v>6</v>
      </c>
      <c r="DV29" s="96">
        <f t="shared" si="43"/>
        <v>6</v>
      </c>
      <c r="DW29" s="96">
        <f t="shared" si="43"/>
        <v>0</v>
      </c>
      <c r="DX29" s="96">
        <f t="shared" si="43"/>
        <v>0</v>
      </c>
      <c r="DY29" s="97">
        <f t="shared" si="44"/>
        <v>6</v>
      </c>
      <c r="DZ29" s="97">
        <f t="shared" si="44"/>
        <v>6</v>
      </c>
      <c r="EA29" s="97">
        <f t="shared" si="44"/>
        <v>6</v>
      </c>
      <c r="EB29" s="97">
        <f t="shared" si="44"/>
        <v>0</v>
      </c>
      <c r="EC29" s="97">
        <f t="shared" si="44"/>
        <v>0</v>
      </c>
      <c r="ED29" s="96">
        <f t="shared" si="45"/>
        <v>6</v>
      </c>
      <c r="EE29" s="96">
        <f t="shared" si="45"/>
        <v>6</v>
      </c>
      <c r="EF29" s="96">
        <f t="shared" si="45"/>
        <v>6</v>
      </c>
      <c r="EG29" s="96">
        <f t="shared" si="45"/>
        <v>0</v>
      </c>
      <c r="EH29" s="96">
        <f t="shared" si="45"/>
        <v>0</v>
      </c>
      <c r="EI29" s="96">
        <f t="shared" si="46"/>
        <v>1</v>
      </c>
      <c r="EJ29" s="96">
        <f t="shared" si="46"/>
        <v>0</v>
      </c>
      <c r="EK29" s="96">
        <f t="shared" si="46"/>
        <v>1</v>
      </c>
      <c r="EL29" s="96">
        <f t="shared" si="46"/>
        <v>0</v>
      </c>
      <c r="EM29" s="115">
        <f t="shared" si="46"/>
        <v>0</v>
      </c>
      <c r="EN29" s="98">
        <f t="shared" si="85"/>
        <v>60</v>
      </c>
      <c r="EO29" s="98">
        <f t="shared" si="85"/>
        <v>60</v>
      </c>
      <c r="EP29" s="98">
        <f t="shared" si="85"/>
        <v>60</v>
      </c>
      <c r="EQ29" s="98">
        <f t="shared" si="85"/>
        <v>1</v>
      </c>
      <c r="ER29" s="98">
        <f t="shared" si="85"/>
        <v>1</v>
      </c>
    </row>
    <row r="30" spans="1:149" ht="17" thickBot="1" x14ac:dyDescent="0.25">
      <c r="A30" s="102" t="str">
        <f>'[1]Pay Table'!B6</f>
        <v>T2</v>
      </c>
      <c r="B30" s="103">
        <v>5</v>
      </c>
      <c r="C30" s="103">
        <v>3</v>
      </c>
      <c r="D30" s="103">
        <v>2</v>
      </c>
      <c r="E30" s="104">
        <f>'[1]Pay Table'!F6</f>
        <v>0</v>
      </c>
      <c r="I30" s="88">
        <f t="shared" si="86"/>
        <v>4</v>
      </c>
      <c r="J30" s="27">
        <v>0</v>
      </c>
      <c r="K30">
        <v>0</v>
      </c>
      <c r="L30">
        <v>1</v>
      </c>
      <c r="M30">
        <v>0</v>
      </c>
      <c r="N30">
        <v>0</v>
      </c>
      <c r="O30">
        <f t="shared" si="3"/>
        <v>5.8838895318930023E-2</v>
      </c>
      <c r="P30" s="74">
        <f t="shared" si="47"/>
        <v>1</v>
      </c>
      <c r="Q30" s="114">
        <f t="shared" si="48"/>
        <v>8.3805493827160502E-2</v>
      </c>
      <c r="R30" s="89">
        <f t="shared" si="4"/>
        <v>0</v>
      </c>
      <c r="S30" s="52">
        <f t="shared" si="5"/>
        <v>0</v>
      </c>
      <c r="T30" s="90">
        <f t="shared" si="6"/>
        <v>0</v>
      </c>
      <c r="U30" s="89">
        <f t="shared" si="49"/>
        <v>12500</v>
      </c>
      <c r="V30" s="89">
        <f t="shared" si="50"/>
        <v>68750</v>
      </c>
      <c r="W30" s="89">
        <f t="shared" si="51"/>
        <v>412500</v>
      </c>
      <c r="X30" s="89">
        <f t="shared" si="52"/>
        <v>6480</v>
      </c>
      <c r="Y30" s="89">
        <f t="shared" si="53"/>
        <v>34992</v>
      </c>
      <c r="Z30" s="89">
        <f t="shared" si="54"/>
        <v>233280</v>
      </c>
      <c r="AA30" s="89">
        <f t="shared" si="55"/>
        <v>3888</v>
      </c>
      <c r="AB30" s="89">
        <f t="shared" si="56"/>
        <v>23328</v>
      </c>
      <c r="AC30" s="89">
        <f t="shared" si="57"/>
        <v>116640</v>
      </c>
      <c r="AD30" s="89">
        <f t="shared" si="58"/>
        <v>2592</v>
      </c>
      <c r="AE30" s="89">
        <f t="shared" si="59"/>
        <v>11664</v>
      </c>
      <c r="AF30" s="89">
        <f t="shared" si="60"/>
        <v>58320</v>
      </c>
      <c r="AG30" s="89">
        <f t="shared" si="61"/>
        <v>1296</v>
      </c>
      <c r="AH30" s="89">
        <f t="shared" si="62"/>
        <v>5832</v>
      </c>
      <c r="AI30" s="89">
        <f t="shared" si="63"/>
        <v>23328</v>
      </c>
      <c r="AJ30" s="89">
        <f t="shared" si="64"/>
        <v>450</v>
      </c>
      <c r="AK30" s="89">
        <f t="shared" si="65"/>
        <v>1980</v>
      </c>
      <c r="AL30" s="89">
        <f t="shared" si="66"/>
        <v>9720</v>
      </c>
      <c r="AM30" s="89">
        <f t="shared" si="67"/>
        <v>648</v>
      </c>
      <c r="AN30" s="89">
        <f t="shared" si="68"/>
        <v>2332.8000000000002</v>
      </c>
      <c r="AO30" s="89">
        <f t="shared" si="69"/>
        <v>11664</v>
      </c>
      <c r="AP30" s="89">
        <f t="shared" si="70"/>
        <v>648</v>
      </c>
      <c r="AQ30" s="89">
        <f t="shared" si="71"/>
        <v>2332.8000000000002</v>
      </c>
      <c r="AR30" s="89">
        <f t="shared" si="72"/>
        <v>11664</v>
      </c>
      <c r="AS30" s="89">
        <f t="shared" si="73"/>
        <v>648</v>
      </c>
      <c r="AT30" s="89">
        <f t="shared" si="74"/>
        <v>2332.8000000000002</v>
      </c>
      <c r="AU30" s="89">
        <f t="shared" si="75"/>
        <v>11664</v>
      </c>
      <c r="AV30" s="89">
        <f t="shared" si="76"/>
        <v>648</v>
      </c>
      <c r="AW30" s="89">
        <f t="shared" si="77"/>
        <v>2332.8000000000002</v>
      </c>
      <c r="AX30" s="89">
        <f t="shared" si="78"/>
        <v>11664</v>
      </c>
      <c r="AY30" s="89">
        <f t="shared" si="79"/>
        <v>0</v>
      </c>
      <c r="AZ30" s="52">
        <f t="shared" si="8"/>
        <v>0</v>
      </c>
      <c r="BA30" s="90">
        <f t="shared" si="9"/>
        <v>0</v>
      </c>
      <c r="BB30" s="91">
        <f t="shared" si="80"/>
        <v>625</v>
      </c>
      <c r="BC30" s="91">
        <f t="shared" si="10"/>
        <v>6875</v>
      </c>
      <c r="BD30" s="91">
        <f t="shared" si="11"/>
        <v>82500</v>
      </c>
      <c r="BE30" s="52">
        <f t="shared" si="12"/>
        <v>1296</v>
      </c>
      <c r="BF30" s="52">
        <f t="shared" si="13"/>
        <v>11664</v>
      </c>
      <c r="BG30" s="90">
        <f t="shared" si="14"/>
        <v>116640</v>
      </c>
      <c r="BH30" s="52">
        <f t="shared" si="15"/>
        <v>1296</v>
      </c>
      <c r="BI30" s="52">
        <f t="shared" si="16"/>
        <v>11664</v>
      </c>
      <c r="BJ30" s="92">
        <f t="shared" si="17"/>
        <v>116640</v>
      </c>
      <c r="BK30" s="91">
        <f t="shared" si="18"/>
        <v>1296</v>
      </c>
      <c r="BL30" s="91">
        <f t="shared" si="19"/>
        <v>11664</v>
      </c>
      <c r="BM30" s="93">
        <f t="shared" si="20"/>
        <v>116640</v>
      </c>
      <c r="BN30" s="92">
        <f t="shared" si="81"/>
        <v>1296</v>
      </c>
      <c r="BO30" s="92">
        <f t="shared" si="82"/>
        <v>11664</v>
      </c>
      <c r="BP30" s="92">
        <f t="shared" si="83"/>
        <v>116640</v>
      </c>
      <c r="BQ30" s="91">
        <f t="shared" si="21"/>
        <v>900</v>
      </c>
      <c r="BR30" s="91">
        <f t="shared" si="22"/>
        <v>9900</v>
      </c>
      <c r="BS30" s="93">
        <f t="shared" si="23"/>
        <v>97200</v>
      </c>
      <c r="BT30" s="91">
        <f t="shared" si="24"/>
        <v>1296</v>
      </c>
      <c r="BU30" s="91">
        <f t="shared" si="25"/>
        <v>11664</v>
      </c>
      <c r="BV30" s="94">
        <f t="shared" si="26"/>
        <v>116640</v>
      </c>
      <c r="BW30" s="52">
        <f t="shared" si="27"/>
        <v>1296</v>
      </c>
      <c r="BX30" s="52">
        <f t="shared" si="28"/>
        <v>11664</v>
      </c>
      <c r="BY30" s="90">
        <f t="shared" si="29"/>
        <v>116640</v>
      </c>
      <c r="BZ30" s="52">
        <f t="shared" si="30"/>
        <v>1296</v>
      </c>
      <c r="CA30" s="52">
        <f t="shared" si="31"/>
        <v>11664</v>
      </c>
      <c r="CB30" s="90">
        <f t="shared" si="32"/>
        <v>116640</v>
      </c>
      <c r="CC30" s="52">
        <f t="shared" si="33"/>
        <v>1296</v>
      </c>
      <c r="CD30" s="52">
        <f t="shared" si="34"/>
        <v>11664</v>
      </c>
      <c r="CE30" s="90">
        <f t="shared" si="35"/>
        <v>116640</v>
      </c>
      <c r="CF30" s="95">
        <f t="shared" si="36"/>
        <v>0</v>
      </c>
      <c r="CG30" s="97">
        <f t="shared" si="36"/>
        <v>0</v>
      </c>
      <c r="CH30" s="97">
        <f t="shared" si="36"/>
        <v>1</v>
      </c>
      <c r="CI30" s="97">
        <f t="shared" si="36"/>
        <v>0</v>
      </c>
      <c r="CJ30" s="97">
        <f t="shared" si="36"/>
        <v>0</v>
      </c>
      <c r="CK30" s="96">
        <f t="shared" si="37"/>
        <v>5</v>
      </c>
      <c r="CL30" s="96">
        <f t="shared" si="37"/>
        <v>5</v>
      </c>
      <c r="CM30" s="96">
        <f t="shared" si="37"/>
        <v>0</v>
      </c>
      <c r="CN30" s="96">
        <f t="shared" si="37"/>
        <v>5</v>
      </c>
      <c r="CO30" s="96">
        <f t="shared" si="37"/>
        <v>5</v>
      </c>
      <c r="CP30" s="96">
        <f t="shared" si="38"/>
        <v>6</v>
      </c>
      <c r="CQ30" s="96">
        <f t="shared" si="38"/>
        <v>6</v>
      </c>
      <c r="CR30" s="96">
        <f t="shared" si="38"/>
        <v>0</v>
      </c>
      <c r="CS30" s="96">
        <f t="shared" si="38"/>
        <v>6</v>
      </c>
      <c r="CT30" s="96">
        <f t="shared" si="38"/>
        <v>6</v>
      </c>
      <c r="CU30" s="96">
        <f t="shared" si="39"/>
        <v>6</v>
      </c>
      <c r="CV30" s="96">
        <f t="shared" si="39"/>
        <v>6</v>
      </c>
      <c r="CW30" s="96">
        <f t="shared" si="39"/>
        <v>0</v>
      </c>
      <c r="CX30" s="96">
        <f t="shared" si="39"/>
        <v>6</v>
      </c>
      <c r="CY30" s="96">
        <f t="shared" si="39"/>
        <v>6</v>
      </c>
      <c r="CZ30" s="96">
        <f t="shared" si="40"/>
        <v>6</v>
      </c>
      <c r="DA30" s="96">
        <f t="shared" si="40"/>
        <v>6</v>
      </c>
      <c r="DB30" s="96">
        <f t="shared" si="40"/>
        <v>0</v>
      </c>
      <c r="DC30" s="96">
        <f t="shared" si="40"/>
        <v>6</v>
      </c>
      <c r="DD30" s="96">
        <f t="shared" si="40"/>
        <v>6</v>
      </c>
      <c r="DE30" s="96">
        <f t="shared" si="84"/>
        <v>6</v>
      </c>
      <c r="DF30" s="96">
        <f t="shared" si="84"/>
        <v>6</v>
      </c>
      <c r="DG30" s="96">
        <f t="shared" si="84"/>
        <v>0</v>
      </c>
      <c r="DH30" s="96">
        <f t="shared" si="84"/>
        <v>6</v>
      </c>
      <c r="DI30" s="96">
        <f t="shared" si="84"/>
        <v>6</v>
      </c>
      <c r="DJ30" s="96">
        <f t="shared" si="41"/>
        <v>5</v>
      </c>
      <c r="DK30" s="96">
        <f t="shared" si="41"/>
        <v>6</v>
      </c>
      <c r="DL30" s="96">
        <f t="shared" si="41"/>
        <v>0</v>
      </c>
      <c r="DM30" s="96">
        <f t="shared" si="41"/>
        <v>6</v>
      </c>
      <c r="DN30" s="96">
        <f t="shared" si="41"/>
        <v>5</v>
      </c>
      <c r="DO30" s="96">
        <f t="shared" si="42"/>
        <v>6</v>
      </c>
      <c r="DP30" s="96">
        <f t="shared" si="42"/>
        <v>6</v>
      </c>
      <c r="DQ30" s="96">
        <f t="shared" si="42"/>
        <v>0</v>
      </c>
      <c r="DR30" s="96">
        <f t="shared" si="42"/>
        <v>6</v>
      </c>
      <c r="DS30" s="96">
        <f t="shared" si="42"/>
        <v>6</v>
      </c>
      <c r="DT30" s="96">
        <f t="shared" si="43"/>
        <v>6</v>
      </c>
      <c r="DU30" s="96">
        <f t="shared" si="43"/>
        <v>6</v>
      </c>
      <c r="DV30" s="96">
        <f t="shared" si="43"/>
        <v>0</v>
      </c>
      <c r="DW30" s="96">
        <f t="shared" si="43"/>
        <v>6</v>
      </c>
      <c r="DX30" s="96">
        <f t="shared" si="43"/>
        <v>6</v>
      </c>
      <c r="DY30" s="97">
        <f t="shared" si="44"/>
        <v>6</v>
      </c>
      <c r="DZ30" s="97">
        <f t="shared" si="44"/>
        <v>6</v>
      </c>
      <c r="EA30" s="97">
        <f t="shared" si="44"/>
        <v>0</v>
      </c>
      <c r="EB30" s="97">
        <f t="shared" si="44"/>
        <v>6</v>
      </c>
      <c r="EC30" s="97">
        <f t="shared" si="44"/>
        <v>6</v>
      </c>
      <c r="ED30" s="96">
        <f t="shared" si="45"/>
        <v>6</v>
      </c>
      <c r="EE30" s="96">
        <f t="shared" si="45"/>
        <v>6</v>
      </c>
      <c r="EF30" s="96">
        <f t="shared" si="45"/>
        <v>0</v>
      </c>
      <c r="EG30" s="96">
        <f t="shared" si="45"/>
        <v>6</v>
      </c>
      <c r="EH30" s="96">
        <f t="shared" si="45"/>
        <v>6</v>
      </c>
      <c r="EI30" s="96">
        <f t="shared" si="46"/>
        <v>1</v>
      </c>
      <c r="EJ30" s="96">
        <f t="shared" si="46"/>
        <v>0</v>
      </c>
      <c r="EK30" s="96">
        <f t="shared" si="46"/>
        <v>0</v>
      </c>
      <c r="EL30" s="96">
        <f t="shared" si="46"/>
        <v>0</v>
      </c>
      <c r="EM30" s="115">
        <f t="shared" si="46"/>
        <v>1</v>
      </c>
      <c r="EN30" s="98">
        <f t="shared" si="85"/>
        <v>60</v>
      </c>
      <c r="EO30" s="98">
        <f t="shared" si="85"/>
        <v>60</v>
      </c>
      <c r="EP30" s="98">
        <f t="shared" si="85"/>
        <v>1</v>
      </c>
      <c r="EQ30" s="98">
        <f t="shared" si="85"/>
        <v>60</v>
      </c>
      <c r="ER30" s="98">
        <f t="shared" si="85"/>
        <v>60</v>
      </c>
    </row>
    <row r="31" spans="1:149" ht="17" thickBot="1" x14ac:dyDescent="0.25">
      <c r="A31" s="102" t="str">
        <f>'[1]Pay Table'!B7</f>
        <v>T3</v>
      </c>
      <c r="B31" s="103">
        <v>3</v>
      </c>
      <c r="C31" s="103">
        <v>2</v>
      </c>
      <c r="D31" s="103">
        <v>1</v>
      </c>
      <c r="E31" s="104">
        <f>'[1]Pay Table'!F7</f>
        <v>0</v>
      </c>
      <c r="I31" s="88">
        <f t="shared" si="86"/>
        <v>5</v>
      </c>
      <c r="J31" s="27">
        <v>0</v>
      </c>
      <c r="K31">
        <v>0</v>
      </c>
      <c r="L31">
        <v>1</v>
      </c>
      <c r="M31">
        <v>0</v>
      </c>
      <c r="N31">
        <v>1</v>
      </c>
      <c r="O31">
        <f t="shared" si="3"/>
        <v>5.348990483539093E-3</v>
      </c>
      <c r="P31" s="74">
        <f t="shared" si="47"/>
        <v>2</v>
      </c>
      <c r="Q31" s="114">
        <f t="shared" si="48"/>
        <v>9.4469444444444467E-2</v>
      </c>
      <c r="R31" s="89">
        <f t="shared" si="4"/>
        <v>0</v>
      </c>
      <c r="S31" s="52">
        <f t="shared" si="5"/>
        <v>0</v>
      </c>
      <c r="T31" s="90">
        <f t="shared" si="6"/>
        <v>0</v>
      </c>
      <c r="U31" s="89">
        <f t="shared" si="49"/>
        <v>2500</v>
      </c>
      <c r="V31" s="89">
        <f t="shared" si="50"/>
        <v>0</v>
      </c>
      <c r="W31" s="89">
        <f t="shared" si="51"/>
        <v>6875</v>
      </c>
      <c r="X31" s="89">
        <f t="shared" si="52"/>
        <v>1080</v>
      </c>
      <c r="Y31" s="89">
        <f t="shared" si="53"/>
        <v>0</v>
      </c>
      <c r="Z31" s="89">
        <f t="shared" si="54"/>
        <v>3888</v>
      </c>
      <c r="AA31" s="89">
        <f t="shared" si="55"/>
        <v>648</v>
      </c>
      <c r="AB31" s="89">
        <f t="shared" si="56"/>
        <v>0</v>
      </c>
      <c r="AC31" s="89">
        <f t="shared" si="57"/>
        <v>1944</v>
      </c>
      <c r="AD31" s="89">
        <f t="shared" si="58"/>
        <v>432</v>
      </c>
      <c r="AE31" s="89">
        <f t="shared" si="59"/>
        <v>0</v>
      </c>
      <c r="AF31" s="89">
        <f t="shared" si="60"/>
        <v>972</v>
      </c>
      <c r="AG31" s="89">
        <f t="shared" si="61"/>
        <v>216</v>
      </c>
      <c r="AH31" s="89">
        <f t="shared" si="62"/>
        <v>0</v>
      </c>
      <c r="AI31" s="89">
        <f t="shared" si="63"/>
        <v>388.8</v>
      </c>
      <c r="AJ31" s="89">
        <f t="shared" si="64"/>
        <v>90</v>
      </c>
      <c r="AK31" s="89">
        <f t="shared" si="65"/>
        <v>0</v>
      </c>
      <c r="AL31" s="89">
        <f t="shared" si="66"/>
        <v>162</v>
      </c>
      <c r="AM31" s="89">
        <f t="shared" si="67"/>
        <v>108</v>
      </c>
      <c r="AN31" s="89">
        <f t="shared" si="68"/>
        <v>0</v>
      </c>
      <c r="AO31" s="89">
        <f t="shared" si="69"/>
        <v>194.4</v>
      </c>
      <c r="AP31" s="89">
        <f t="shared" si="70"/>
        <v>108</v>
      </c>
      <c r="AQ31" s="89">
        <f t="shared" si="71"/>
        <v>0</v>
      </c>
      <c r="AR31" s="89">
        <f t="shared" si="72"/>
        <v>194.4</v>
      </c>
      <c r="AS31" s="89">
        <f t="shared" si="73"/>
        <v>108</v>
      </c>
      <c r="AT31" s="89">
        <f t="shared" si="74"/>
        <v>0</v>
      </c>
      <c r="AU31" s="89">
        <f t="shared" si="75"/>
        <v>194.4</v>
      </c>
      <c r="AV31" s="89">
        <f t="shared" si="76"/>
        <v>108</v>
      </c>
      <c r="AW31" s="89">
        <f t="shared" si="77"/>
        <v>0</v>
      </c>
      <c r="AX31" s="89">
        <f t="shared" si="78"/>
        <v>194.4</v>
      </c>
      <c r="AY31" s="89">
        <f t="shared" si="79"/>
        <v>0</v>
      </c>
      <c r="AZ31" s="52">
        <f t="shared" si="8"/>
        <v>0</v>
      </c>
      <c r="BA31" s="90">
        <f t="shared" si="9"/>
        <v>0</v>
      </c>
      <c r="BB31" s="91">
        <f t="shared" si="80"/>
        <v>125</v>
      </c>
      <c r="BC31" s="91">
        <f t="shared" si="10"/>
        <v>0</v>
      </c>
      <c r="BD31" s="91">
        <f t="shared" si="11"/>
        <v>1375</v>
      </c>
      <c r="BE31" s="52">
        <f t="shared" si="12"/>
        <v>216</v>
      </c>
      <c r="BF31" s="52">
        <f t="shared" si="13"/>
        <v>0</v>
      </c>
      <c r="BG31" s="90">
        <f t="shared" si="14"/>
        <v>1944</v>
      </c>
      <c r="BH31" s="52">
        <f t="shared" si="15"/>
        <v>216</v>
      </c>
      <c r="BI31" s="52">
        <f t="shared" si="16"/>
        <v>0</v>
      </c>
      <c r="BJ31" s="92">
        <f t="shared" si="17"/>
        <v>1944</v>
      </c>
      <c r="BK31" s="91">
        <f t="shared" si="18"/>
        <v>216</v>
      </c>
      <c r="BL31" s="91">
        <f t="shared" si="19"/>
        <v>0</v>
      </c>
      <c r="BM31" s="93">
        <f t="shared" si="20"/>
        <v>1944</v>
      </c>
      <c r="BN31" s="92">
        <f t="shared" si="81"/>
        <v>216</v>
      </c>
      <c r="BO31" s="92">
        <f t="shared" si="82"/>
        <v>0</v>
      </c>
      <c r="BP31" s="92">
        <f t="shared" si="83"/>
        <v>1944</v>
      </c>
      <c r="BQ31" s="91">
        <f t="shared" si="21"/>
        <v>180</v>
      </c>
      <c r="BR31" s="91">
        <f t="shared" si="22"/>
        <v>0</v>
      </c>
      <c r="BS31" s="93">
        <f t="shared" si="23"/>
        <v>1620</v>
      </c>
      <c r="BT31" s="91">
        <f t="shared" si="24"/>
        <v>216</v>
      </c>
      <c r="BU31" s="91">
        <f t="shared" si="25"/>
        <v>0</v>
      </c>
      <c r="BV31" s="94">
        <f t="shared" si="26"/>
        <v>1944</v>
      </c>
      <c r="BW31" s="52">
        <f t="shared" si="27"/>
        <v>216</v>
      </c>
      <c r="BX31" s="52">
        <f t="shared" si="28"/>
        <v>0</v>
      </c>
      <c r="BY31" s="90">
        <f t="shared" si="29"/>
        <v>1944</v>
      </c>
      <c r="BZ31" s="52">
        <f t="shared" si="30"/>
        <v>216</v>
      </c>
      <c r="CA31" s="52">
        <f t="shared" si="31"/>
        <v>0</v>
      </c>
      <c r="CB31" s="90">
        <f t="shared" si="32"/>
        <v>1944</v>
      </c>
      <c r="CC31" s="52">
        <f t="shared" si="33"/>
        <v>216</v>
      </c>
      <c r="CD31" s="52">
        <f t="shared" si="34"/>
        <v>0</v>
      </c>
      <c r="CE31" s="90">
        <f t="shared" si="35"/>
        <v>1944</v>
      </c>
      <c r="CF31" s="95">
        <f t="shared" si="36"/>
        <v>0</v>
      </c>
      <c r="CG31" s="97">
        <f t="shared" si="36"/>
        <v>0</v>
      </c>
      <c r="CH31" s="97">
        <f t="shared" si="36"/>
        <v>1</v>
      </c>
      <c r="CI31" s="97">
        <f t="shared" si="36"/>
        <v>0</v>
      </c>
      <c r="CJ31" s="97">
        <f t="shared" si="36"/>
        <v>1</v>
      </c>
      <c r="CK31" s="96">
        <f t="shared" si="37"/>
        <v>5</v>
      </c>
      <c r="CL31" s="96">
        <f t="shared" si="37"/>
        <v>5</v>
      </c>
      <c r="CM31" s="96">
        <f t="shared" si="37"/>
        <v>0</v>
      </c>
      <c r="CN31" s="96">
        <f t="shared" si="37"/>
        <v>5</v>
      </c>
      <c r="CO31" s="96">
        <f t="shared" si="37"/>
        <v>0</v>
      </c>
      <c r="CP31" s="96">
        <f t="shared" si="38"/>
        <v>6</v>
      </c>
      <c r="CQ31" s="96">
        <f t="shared" si="38"/>
        <v>6</v>
      </c>
      <c r="CR31" s="96">
        <f t="shared" si="38"/>
        <v>0</v>
      </c>
      <c r="CS31" s="96">
        <f t="shared" si="38"/>
        <v>6</v>
      </c>
      <c r="CT31" s="96">
        <f t="shared" si="38"/>
        <v>0</v>
      </c>
      <c r="CU31" s="96">
        <f t="shared" si="39"/>
        <v>6</v>
      </c>
      <c r="CV31" s="96">
        <f t="shared" si="39"/>
        <v>6</v>
      </c>
      <c r="CW31" s="96">
        <f t="shared" si="39"/>
        <v>0</v>
      </c>
      <c r="CX31" s="96">
        <f t="shared" si="39"/>
        <v>6</v>
      </c>
      <c r="CY31" s="96">
        <f t="shared" si="39"/>
        <v>0</v>
      </c>
      <c r="CZ31" s="96">
        <f t="shared" si="40"/>
        <v>6</v>
      </c>
      <c r="DA31" s="96">
        <f t="shared" si="40"/>
        <v>6</v>
      </c>
      <c r="DB31" s="96">
        <f t="shared" si="40"/>
        <v>0</v>
      </c>
      <c r="DC31" s="96">
        <f t="shared" si="40"/>
        <v>6</v>
      </c>
      <c r="DD31" s="96">
        <f t="shared" si="40"/>
        <v>0</v>
      </c>
      <c r="DE31" s="96">
        <f t="shared" si="84"/>
        <v>6</v>
      </c>
      <c r="DF31" s="96">
        <f t="shared" si="84"/>
        <v>6</v>
      </c>
      <c r="DG31" s="96">
        <f t="shared" si="84"/>
        <v>0</v>
      </c>
      <c r="DH31" s="96">
        <f t="shared" si="84"/>
        <v>6</v>
      </c>
      <c r="DI31" s="96">
        <f t="shared" si="84"/>
        <v>0</v>
      </c>
      <c r="DJ31" s="96">
        <f t="shared" si="41"/>
        <v>5</v>
      </c>
      <c r="DK31" s="96">
        <f t="shared" si="41"/>
        <v>6</v>
      </c>
      <c r="DL31" s="96">
        <f t="shared" si="41"/>
        <v>0</v>
      </c>
      <c r="DM31" s="96">
        <f t="shared" si="41"/>
        <v>6</v>
      </c>
      <c r="DN31" s="96">
        <f t="shared" si="41"/>
        <v>0</v>
      </c>
      <c r="DO31" s="96">
        <f t="shared" si="42"/>
        <v>6</v>
      </c>
      <c r="DP31" s="96">
        <f t="shared" si="42"/>
        <v>6</v>
      </c>
      <c r="DQ31" s="96">
        <f t="shared" si="42"/>
        <v>0</v>
      </c>
      <c r="DR31" s="96">
        <f t="shared" si="42"/>
        <v>6</v>
      </c>
      <c r="DS31" s="96">
        <f t="shared" si="42"/>
        <v>0</v>
      </c>
      <c r="DT31" s="96">
        <f t="shared" si="43"/>
        <v>6</v>
      </c>
      <c r="DU31" s="96">
        <f t="shared" si="43"/>
        <v>6</v>
      </c>
      <c r="DV31" s="96">
        <f t="shared" si="43"/>
        <v>0</v>
      </c>
      <c r="DW31" s="96">
        <f t="shared" si="43"/>
        <v>6</v>
      </c>
      <c r="DX31" s="96">
        <f t="shared" si="43"/>
        <v>0</v>
      </c>
      <c r="DY31" s="97">
        <f t="shared" si="44"/>
        <v>6</v>
      </c>
      <c r="DZ31" s="97">
        <f t="shared" si="44"/>
        <v>6</v>
      </c>
      <c r="EA31" s="97">
        <f t="shared" si="44"/>
        <v>0</v>
      </c>
      <c r="EB31" s="97">
        <f t="shared" si="44"/>
        <v>6</v>
      </c>
      <c r="EC31" s="97">
        <f t="shared" si="44"/>
        <v>0</v>
      </c>
      <c r="ED31" s="96">
        <f t="shared" si="45"/>
        <v>6</v>
      </c>
      <c r="EE31" s="96">
        <f t="shared" si="45"/>
        <v>6</v>
      </c>
      <c r="EF31" s="96">
        <f t="shared" si="45"/>
        <v>0</v>
      </c>
      <c r="EG31" s="96">
        <f t="shared" si="45"/>
        <v>6</v>
      </c>
      <c r="EH31" s="96">
        <f t="shared" si="45"/>
        <v>0</v>
      </c>
      <c r="EI31" s="96">
        <f t="shared" si="46"/>
        <v>1</v>
      </c>
      <c r="EJ31" s="96">
        <f t="shared" si="46"/>
        <v>0</v>
      </c>
      <c r="EK31" s="96">
        <f t="shared" si="46"/>
        <v>0</v>
      </c>
      <c r="EL31" s="96">
        <f t="shared" si="46"/>
        <v>0</v>
      </c>
      <c r="EM31" s="115">
        <f t="shared" si="46"/>
        <v>0</v>
      </c>
      <c r="EN31" s="98">
        <f t="shared" si="85"/>
        <v>60</v>
      </c>
      <c r="EO31" s="98">
        <f t="shared" si="85"/>
        <v>60</v>
      </c>
      <c r="EP31" s="98">
        <f t="shared" si="85"/>
        <v>1</v>
      </c>
      <c r="EQ31" s="98">
        <f t="shared" si="85"/>
        <v>60</v>
      </c>
      <c r="ER31" s="98">
        <f t="shared" si="85"/>
        <v>1</v>
      </c>
    </row>
    <row r="32" spans="1:149" ht="17" thickBot="1" x14ac:dyDescent="0.25">
      <c r="A32" s="102" t="str">
        <f>'[1]Pay Table'!B8</f>
        <v>T4</v>
      </c>
      <c r="B32" s="103">
        <v>2</v>
      </c>
      <c r="C32" s="103">
        <v>1</v>
      </c>
      <c r="D32" s="103">
        <v>0.5</v>
      </c>
      <c r="E32" s="104">
        <f>'[1]Pay Table'!F8</f>
        <v>0</v>
      </c>
      <c r="I32" s="88">
        <f t="shared" si="86"/>
        <v>6</v>
      </c>
      <c r="J32" s="27">
        <v>0</v>
      </c>
      <c r="K32">
        <v>0</v>
      </c>
      <c r="L32">
        <v>1</v>
      </c>
      <c r="M32">
        <v>1</v>
      </c>
      <c r="N32">
        <v>0</v>
      </c>
      <c r="O32">
        <f t="shared" si="3"/>
        <v>5.3489904835390938E-3</v>
      </c>
      <c r="P32" s="74">
        <f t="shared" si="47"/>
        <v>2</v>
      </c>
      <c r="Q32" s="114">
        <f t="shared" si="48"/>
        <v>0.15580648148148149</v>
      </c>
      <c r="R32" s="89">
        <f t="shared" si="4"/>
        <v>0</v>
      </c>
      <c r="S32" s="52">
        <f t="shared" si="5"/>
        <v>0</v>
      </c>
      <c r="T32" s="90">
        <f t="shared" si="6"/>
        <v>0</v>
      </c>
      <c r="U32" s="89">
        <f t="shared" si="49"/>
        <v>2500</v>
      </c>
      <c r="V32" s="89">
        <f t="shared" si="50"/>
        <v>13750</v>
      </c>
      <c r="W32" s="89">
        <f t="shared" si="51"/>
        <v>0</v>
      </c>
      <c r="X32" s="89">
        <f t="shared" si="52"/>
        <v>1080</v>
      </c>
      <c r="Y32" s="89">
        <f t="shared" si="53"/>
        <v>5832</v>
      </c>
      <c r="Z32" s="89">
        <f t="shared" si="54"/>
        <v>0</v>
      </c>
      <c r="AA32" s="89">
        <f t="shared" si="55"/>
        <v>648</v>
      </c>
      <c r="AB32" s="89">
        <f t="shared" si="56"/>
        <v>3888</v>
      </c>
      <c r="AC32" s="89">
        <f t="shared" si="57"/>
        <v>0</v>
      </c>
      <c r="AD32" s="89">
        <f t="shared" si="58"/>
        <v>432</v>
      </c>
      <c r="AE32" s="89">
        <f t="shared" si="59"/>
        <v>1944</v>
      </c>
      <c r="AF32" s="89">
        <f t="shared" si="60"/>
        <v>0</v>
      </c>
      <c r="AG32" s="89">
        <f t="shared" si="61"/>
        <v>216</v>
      </c>
      <c r="AH32" s="89">
        <f t="shared" si="62"/>
        <v>972</v>
      </c>
      <c r="AI32" s="89">
        <f t="shared" si="63"/>
        <v>0</v>
      </c>
      <c r="AJ32" s="89">
        <f t="shared" si="64"/>
        <v>75</v>
      </c>
      <c r="AK32" s="89">
        <f t="shared" si="65"/>
        <v>330</v>
      </c>
      <c r="AL32" s="89">
        <f t="shared" si="66"/>
        <v>0</v>
      </c>
      <c r="AM32" s="89">
        <f t="shared" si="67"/>
        <v>108</v>
      </c>
      <c r="AN32" s="89">
        <f t="shared" si="68"/>
        <v>388.8</v>
      </c>
      <c r="AO32" s="89">
        <f t="shared" si="69"/>
        <v>0</v>
      </c>
      <c r="AP32" s="89">
        <f t="shared" si="70"/>
        <v>108</v>
      </c>
      <c r="AQ32" s="89">
        <f t="shared" si="71"/>
        <v>388.8</v>
      </c>
      <c r="AR32" s="89">
        <f t="shared" si="72"/>
        <v>0</v>
      </c>
      <c r="AS32" s="89">
        <f t="shared" si="73"/>
        <v>108</v>
      </c>
      <c r="AT32" s="89">
        <f t="shared" si="74"/>
        <v>388.8</v>
      </c>
      <c r="AU32" s="89">
        <f t="shared" si="75"/>
        <v>0</v>
      </c>
      <c r="AV32" s="89">
        <f t="shared" si="76"/>
        <v>108</v>
      </c>
      <c r="AW32" s="89">
        <f t="shared" si="77"/>
        <v>388.8</v>
      </c>
      <c r="AX32" s="89">
        <f t="shared" si="78"/>
        <v>0</v>
      </c>
      <c r="AY32" s="89">
        <f t="shared" si="79"/>
        <v>0</v>
      </c>
      <c r="AZ32" s="52">
        <f t="shared" si="8"/>
        <v>0</v>
      </c>
      <c r="BA32" s="90">
        <f t="shared" si="9"/>
        <v>0</v>
      </c>
      <c r="BB32" s="91">
        <f t="shared" si="80"/>
        <v>125</v>
      </c>
      <c r="BC32" s="91">
        <f t="shared" si="10"/>
        <v>1375</v>
      </c>
      <c r="BD32" s="91">
        <f t="shared" si="11"/>
        <v>0</v>
      </c>
      <c r="BE32" s="52">
        <f t="shared" si="12"/>
        <v>216</v>
      </c>
      <c r="BF32" s="52">
        <f t="shared" si="13"/>
        <v>1944</v>
      </c>
      <c r="BG32" s="90">
        <f t="shared" si="14"/>
        <v>0</v>
      </c>
      <c r="BH32" s="52">
        <f t="shared" si="15"/>
        <v>216</v>
      </c>
      <c r="BI32" s="52">
        <f t="shared" si="16"/>
        <v>1944</v>
      </c>
      <c r="BJ32" s="92">
        <f t="shared" si="17"/>
        <v>0</v>
      </c>
      <c r="BK32" s="91">
        <f t="shared" si="18"/>
        <v>216</v>
      </c>
      <c r="BL32" s="91">
        <f t="shared" si="19"/>
        <v>1944</v>
      </c>
      <c r="BM32" s="93">
        <f t="shared" si="20"/>
        <v>0</v>
      </c>
      <c r="BN32" s="92">
        <f t="shared" si="81"/>
        <v>216</v>
      </c>
      <c r="BO32" s="92">
        <f t="shared" si="82"/>
        <v>1944</v>
      </c>
      <c r="BP32" s="92">
        <f t="shared" si="83"/>
        <v>0</v>
      </c>
      <c r="BQ32" s="91">
        <f t="shared" si="21"/>
        <v>150</v>
      </c>
      <c r="BR32" s="91">
        <f t="shared" si="22"/>
        <v>1650</v>
      </c>
      <c r="BS32" s="93">
        <f t="shared" si="23"/>
        <v>0</v>
      </c>
      <c r="BT32" s="91">
        <f t="shared" si="24"/>
        <v>216</v>
      </c>
      <c r="BU32" s="91">
        <f t="shared" si="25"/>
        <v>1944</v>
      </c>
      <c r="BV32" s="94">
        <f t="shared" si="26"/>
        <v>0</v>
      </c>
      <c r="BW32" s="52">
        <f t="shared" si="27"/>
        <v>216</v>
      </c>
      <c r="BX32" s="52">
        <f t="shared" si="28"/>
        <v>1944</v>
      </c>
      <c r="BY32" s="90">
        <f t="shared" si="29"/>
        <v>0</v>
      </c>
      <c r="BZ32" s="52">
        <f t="shared" si="30"/>
        <v>216</v>
      </c>
      <c r="CA32" s="52">
        <f t="shared" si="31"/>
        <v>1944</v>
      </c>
      <c r="CB32" s="90">
        <f t="shared" si="32"/>
        <v>0</v>
      </c>
      <c r="CC32" s="52">
        <f t="shared" si="33"/>
        <v>216</v>
      </c>
      <c r="CD32" s="52">
        <f t="shared" si="34"/>
        <v>1944</v>
      </c>
      <c r="CE32" s="90">
        <f t="shared" si="35"/>
        <v>0</v>
      </c>
      <c r="CF32" s="95">
        <f t="shared" si="36"/>
        <v>0</v>
      </c>
      <c r="CG32" s="97">
        <f t="shared" si="36"/>
        <v>0</v>
      </c>
      <c r="CH32" s="97">
        <f t="shared" si="36"/>
        <v>1</v>
      </c>
      <c r="CI32" s="97">
        <f t="shared" si="36"/>
        <v>1</v>
      </c>
      <c r="CJ32" s="97">
        <f t="shared" si="36"/>
        <v>0</v>
      </c>
      <c r="CK32" s="96">
        <f t="shared" si="37"/>
        <v>5</v>
      </c>
      <c r="CL32" s="96">
        <f t="shared" si="37"/>
        <v>5</v>
      </c>
      <c r="CM32" s="96">
        <f t="shared" si="37"/>
        <v>0</v>
      </c>
      <c r="CN32" s="96">
        <f t="shared" si="37"/>
        <v>0</v>
      </c>
      <c r="CO32" s="96">
        <f t="shared" si="37"/>
        <v>5</v>
      </c>
      <c r="CP32" s="96">
        <f t="shared" si="38"/>
        <v>6</v>
      </c>
      <c r="CQ32" s="96">
        <f t="shared" si="38"/>
        <v>6</v>
      </c>
      <c r="CR32" s="96">
        <f t="shared" si="38"/>
        <v>0</v>
      </c>
      <c r="CS32" s="96">
        <f t="shared" si="38"/>
        <v>0</v>
      </c>
      <c r="CT32" s="96">
        <f t="shared" si="38"/>
        <v>6</v>
      </c>
      <c r="CU32" s="96">
        <f t="shared" si="39"/>
        <v>6</v>
      </c>
      <c r="CV32" s="96">
        <f t="shared" si="39"/>
        <v>6</v>
      </c>
      <c r="CW32" s="96">
        <f t="shared" si="39"/>
        <v>0</v>
      </c>
      <c r="CX32" s="96">
        <f t="shared" si="39"/>
        <v>0</v>
      </c>
      <c r="CY32" s="96">
        <f t="shared" si="39"/>
        <v>6</v>
      </c>
      <c r="CZ32" s="96">
        <f t="shared" si="40"/>
        <v>6</v>
      </c>
      <c r="DA32" s="96">
        <f t="shared" si="40"/>
        <v>6</v>
      </c>
      <c r="DB32" s="96">
        <f t="shared" si="40"/>
        <v>0</v>
      </c>
      <c r="DC32" s="96">
        <f t="shared" si="40"/>
        <v>0</v>
      </c>
      <c r="DD32" s="96">
        <f t="shared" si="40"/>
        <v>6</v>
      </c>
      <c r="DE32" s="96">
        <f t="shared" si="84"/>
        <v>6</v>
      </c>
      <c r="DF32" s="96">
        <f t="shared" si="84"/>
        <v>6</v>
      </c>
      <c r="DG32" s="96">
        <f t="shared" si="84"/>
        <v>0</v>
      </c>
      <c r="DH32" s="96">
        <f t="shared" si="84"/>
        <v>0</v>
      </c>
      <c r="DI32" s="96">
        <f t="shared" si="84"/>
        <v>6</v>
      </c>
      <c r="DJ32" s="96">
        <f t="shared" si="41"/>
        <v>5</v>
      </c>
      <c r="DK32" s="96">
        <f t="shared" si="41"/>
        <v>6</v>
      </c>
      <c r="DL32" s="96">
        <f t="shared" si="41"/>
        <v>0</v>
      </c>
      <c r="DM32" s="96">
        <f t="shared" si="41"/>
        <v>0</v>
      </c>
      <c r="DN32" s="96">
        <f t="shared" si="41"/>
        <v>5</v>
      </c>
      <c r="DO32" s="96">
        <f t="shared" si="42"/>
        <v>6</v>
      </c>
      <c r="DP32" s="96">
        <f t="shared" si="42"/>
        <v>6</v>
      </c>
      <c r="DQ32" s="96">
        <f t="shared" si="42"/>
        <v>0</v>
      </c>
      <c r="DR32" s="96">
        <f t="shared" si="42"/>
        <v>0</v>
      </c>
      <c r="DS32" s="96">
        <f t="shared" si="42"/>
        <v>6</v>
      </c>
      <c r="DT32" s="96">
        <f t="shared" si="43"/>
        <v>6</v>
      </c>
      <c r="DU32" s="96">
        <f t="shared" si="43"/>
        <v>6</v>
      </c>
      <c r="DV32" s="96">
        <f t="shared" si="43"/>
        <v>0</v>
      </c>
      <c r="DW32" s="96">
        <f t="shared" si="43"/>
        <v>0</v>
      </c>
      <c r="DX32" s="96">
        <f t="shared" si="43"/>
        <v>6</v>
      </c>
      <c r="DY32" s="97">
        <f t="shared" si="44"/>
        <v>6</v>
      </c>
      <c r="DZ32" s="97">
        <f t="shared" si="44"/>
        <v>6</v>
      </c>
      <c r="EA32" s="97">
        <f t="shared" si="44"/>
        <v>0</v>
      </c>
      <c r="EB32" s="97">
        <f t="shared" si="44"/>
        <v>0</v>
      </c>
      <c r="EC32" s="97">
        <f t="shared" si="44"/>
        <v>6</v>
      </c>
      <c r="ED32" s="96">
        <f t="shared" si="45"/>
        <v>6</v>
      </c>
      <c r="EE32" s="96">
        <f t="shared" si="45"/>
        <v>6</v>
      </c>
      <c r="EF32" s="96">
        <f t="shared" si="45"/>
        <v>0</v>
      </c>
      <c r="EG32" s="96">
        <f t="shared" si="45"/>
        <v>0</v>
      </c>
      <c r="EH32" s="96">
        <f t="shared" si="45"/>
        <v>6</v>
      </c>
      <c r="EI32" s="96">
        <f t="shared" si="46"/>
        <v>1</v>
      </c>
      <c r="EJ32" s="96">
        <f t="shared" si="46"/>
        <v>0</v>
      </c>
      <c r="EK32" s="96">
        <f t="shared" si="46"/>
        <v>0</v>
      </c>
      <c r="EL32" s="96">
        <f t="shared" si="46"/>
        <v>0</v>
      </c>
      <c r="EM32" s="115">
        <f t="shared" si="46"/>
        <v>1</v>
      </c>
      <c r="EN32" s="98">
        <f t="shared" si="85"/>
        <v>60</v>
      </c>
      <c r="EO32" s="98">
        <f t="shared" si="85"/>
        <v>60</v>
      </c>
      <c r="EP32" s="98">
        <f t="shared" si="85"/>
        <v>1</v>
      </c>
      <c r="EQ32" s="98">
        <f t="shared" si="85"/>
        <v>1</v>
      </c>
      <c r="ER32" s="98">
        <f t="shared" si="85"/>
        <v>60</v>
      </c>
    </row>
    <row r="33" spans="1:148" ht="17" thickBot="1" x14ac:dyDescent="0.25">
      <c r="A33" s="102" t="str">
        <f>'[1]Pay Table'!B9</f>
        <v>T5</v>
      </c>
      <c r="B33" s="103">
        <v>1</v>
      </c>
      <c r="C33" s="103">
        <v>0.5</v>
      </c>
      <c r="D33" s="103">
        <v>0.2</v>
      </c>
      <c r="E33" s="104">
        <f>'[1]Pay Table'!F9</f>
        <v>0</v>
      </c>
      <c r="I33" s="88">
        <f t="shared" si="86"/>
        <v>7</v>
      </c>
      <c r="J33" s="27">
        <v>0</v>
      </c>
      <c r="K33">
        <v>0</v>
      </c>
      <c r="L33">
        <v>1</v>
      </c>
      <c r="M33">
        <v>1</v>
      </c>
      <c r="N33">
        <v>1</v>
      </c>
      <c r="O33">
        <f t="shared" si="3"/>
        <v>4.862718621399176E-4</v>
      </c>
      <c r="P33" s="74">
        <f t="shared" si="47"/>
        <v>3</v>
      </c>
      <c r="Q33" s="114">
        <f t="shared" si="48"/>
        <v>0.27305555555555555</v>
      </c>
      <c r="R33" s="89">
        <f t="shared" si="4"/>
        <v>0</v>
      </c>
      <c r="S33" s="52">
        <f t="shared" si="5"/>
        <v>0</v>
      </c>
      <c r="T33" s="90">
        <f t="shared" si="6"/>
        <v>0</v>
      </c>
      <c r="U33" s="89">
        <f t="shared" si="49"/>
        <v>500</v>
      </c>
      <c r="V33" s="89">
        <f t="shared" si="50"/>
        <v>0</v>
      </c>
      <c r="W33" s="89">
        <f t="shared" si="51"/>
        <v>0</v>
      </c>
      <c r="X33" s="89">
        <f t="shared" si="52"/>
        <v>180</v>
      </c>
      <c r="Y33" s="89">
        <f t="shared" si="53"/>
        <v>0</v>
      </c>
      <c r="Z33" s="89">
        <f t="shared" si="54"/>
        <v>0</v>
      </c>
      <c r="AA33" s="89">
        <f t="shared" si="55"/>
        <v>108</v>
      </c>
      <c r="AB33" s="89">
        <f t="shared" si="56"/>
        <v>0</v>
      </c>
      <c r="AC33" s="89">
        <f t="shared" si="57"/>
        <v>0</v>
      </c>
      <c r="AD33" s="89">
        <f t="shared" si="58"/>
        <v>72</v>
      </c>
      <c r="AE33" s="89">
        <f t="shared" si="59"/>
        <v>0</v>
      </c>
      <c r="AF33" s="89">
        <f t="shared" si="60"/>
        <v>0</v>
      </c>
      <c r="AG33" s="89">
        <f t="shared" si="61"/>
        <v>36</v>
      </c>
      <c r="AH33" s="89">
        <f t="shared" si="62"/>
        <v>0</v>
      </c>
      <c r="AI33" s="89">
        <f t="shared" si="63"/>
        <v>0</v>
      </c>
      <c r="AJ33" s="89">
        <f t="shared" si="64"/>
        <v>15</v>
      </c>
      <c r="AK33" s="89">
        <f t="shared" si="65"/>
        <v>0</v>
      </c>
      <c r="AL33" s="89">
        <f t="shared" si="66"/>
        <v>0</v>
      </c>
      <c r="AM33" s="89">
        <f t="shared" si="67"/>
        <v>18</v>
      </c>
      <c r="AN33" s="89">
        <f t="shared" si="68"/>
        <v>0</v>
      </c>
      <c r="AO33" s="89">
        <f t="shared" si="69"/>
        <v>0</v>
      </c>
      <c r="AP33" s="89">
        <f t="shared" si="70"/>
        <v>18</v>
      </c>
      <c r="AQ33" s="89">
        <f t="shared" si="71"/>
        <v>0</v>
      </c>
      <c r="AR33" s="89">
        <f t="shared" si="72"/>
        <v>0</v>
      </c>
      <c r="AS33" s="89">
        <f t="shared" si="73"/>
        <v>18</v>
      </c>
      <c r="AT33" s="89">
        <f t="shared" si="74"/>
        <v>0</v>
      </c>
      <c r="AU33" s="89">
        <f t="shared" si="75"/>
        <v>0</v>
      </c>
      <c r="AV33" s="89">
        <f t="shared" si="76"/>
        <v>18</v>
      </c>
      <c r="AW33" s="89">
        <f t="shared" si="77"/>
        <v>0</v>
      </c>
      <c r="AX33" s="89">
        <f t="shared" si="78"/>
        <v>0</v>
      </c>
      <c r="AY33" s="89">
        <f t="shared" si="79"/>
        <v>0</v>
      </c>
      <c r="AZ33" s="52">
        <f t="shared" si="8"/>
        <v>0</v>
      </c>
      <c r="BA33" s="90">
        <f t="shared" si="9"/>
        <v>0</v>
      </c>
      <c r="BB33" s="91">
        <f t="shared" si="80"/>
        <v>25</v>
      </c>
      <c r="BC33" s="91">
        <f t="shared" si="10"/>
        <v>0</v>
      </c>
      <c r="BD33" s="91">
        <f t="shared" si="11"/>
        <v>0</v>
      </c>
      <c r="BE33" s="52">
        <f t="shared" si="12"/>
        <v>36</v>
      </c>
      <c r="BF33" s="52">
        <f t="shared" si="13"/>
        <v>0</v>
      </c>
      <c r="BG33" s="90">
        <f t="shared" si="14"/>
        <v>0</v>
      </c>
      <c r="BH33" s="52">
        <f t="shared" si="15"/>
        <v>36</v>
      </c>
      <c r="BI33" s="52">
        <f t="shared" si="16"/>
        <v>0</v>
      </c>
      <c r="BJ33" s="92">
        <f t="shared" si="17"/>
        <v>0</v>
      </c>
      <c r="BK33" s="91">
        <f t="shared" si="18"/>
        <v>36</v>
      </c>
      <c r="BL33" s="91">
        <f t="shared" si="19"/>
        <v>0</v>
      </c>
      <c r="BM33" s="93">
        <f t="shared" si="20"/>
        <v>0</v>
      </c>
      <c r="BN33" s="92">
        <f t="shared" si="81"/>
        <v>36</v>
      </c>
      <c r="BO33" s="92">
        <f t="shared" si="82"/>
        <v>0</v>
      </c>
      <c r="BP33" s="92">
        <f t="shared" si="83"/>
        <v>0</v>
      </c>
      <c r="BQ33" s="91">
        <f t="shared" si="21"/>
        <v>30</v>
      </c>
      <c r="BR33" s="91">
        <f t="shared" si="22"/>
        <v>0</v>
      </c>
      <c r="BS33" s="93">
        <f t="shared" si="23"/>
        <v>0</v>
      </c>
      <c r="BT33" s="91">
        <f t="shared" si="24"/>
        <v>36</v>
      </c>
      <c r="BU33" s="91">
        <f t="shared" si="25"/>
        <v>0</v>
      </c>
      <c r="BV33" s="94">
        <f t="shared" si="26"/>
        <v>0</v>
      </c>
      <c r="BW33" s="52">
        <f t="shared" si="27"/>
        <v>36</v>
      </c>
      <c r="BX33" s="52">
        <f t="shared" si="28"/>
        <v>0</v>
      </c>
      <c r="BY33" s="90">
        <f t="shared" si="29"/>
        <v>0</v>
      </c>
      <c r="BZ33" s="52">
        <f t="shared" si="30"/>
        <v>36</v>
      </c>
      <c r="CA33" s="52">
        <f t="shared" si="31"/>
        <v>0</v>
      </c>
      <c r="CB33" s="90">
        <f t="shared" si="32"/>
        <v>0</v>
      </c>
      <c r="CC33" s="52">
        <f t="shared" si="33"/>
        <v>36</v>
      </c>
      <c r="CD33" s="52">
        <f t="shared" si="34"/>
        <v>0</v>
      </c>
      <c r="CE33" s="90">
        <f t="shared" si="35"/>
        <v>0</v>
      </c>
      <c r="CF33" s="95">
        <f t="shared" si="36"/>
        <v>0</v>
      </c>
      <c r="CG33" s="97">
        <f t="shared" si="36"/>
        <v>0</v>
      </c>
      <c r="CH33" s="97">
        <f t="shared" si="36"/>
        <v>1</v>
      </c>
      <c r="CI33" s="97">
        <f t="shared" si="36"/>
        <v>1</v>
      </c>
      <c r="CJ33" s="97">
        <f t="shared" si="36"/>
        <v>1</v>
      </c>
      <c r="CK33" s="96">
        <f t="shared" si="37"/>
        <v>5</v>
      </c>
      <c r="CL33" s="96">
        <f t="shared" si="37"/>
        <v>5</v>
      </c>
      <c r="CM33" s="96">
        <f t="shared" si="37"/>
        <v>0</v>
      </c>
      <c r="CN33" s="96">
        <f t="shared" si="37"/>
        <v>0</v>
      </c>
      <c r="CO33" s="96">
        <f t="shared" si="37"/>
        <v>0</v>
      </c>
      <c r="CP33" s="96">
        <f t="shared" si="38"/>
        <v>6</v>
      </c>
      <c r="CQ33" s="96">
        <f t="shared" si="38"/>
        <v>6</v>
      </c>
      <c r="CR33" s="96">
        <f t="shared" si="38"/>
        <v>0</v>
      </c>
      <c r="CS33" s="96">
        <f t="shared" si="38"/>
        <v>0</v>
      </c>
      <c r="CT33" s="96">
        <f t="shared" si="38"/>
        <v>0</v>
      </c>
      <c r="CU33" s="96">
        <f t="shared" si="39"/>
        <v>6</v>
      </c>
      <c r="CV33" s="96">
        <f t="shared" si="39"/>
        <v>6</v>
      </c>
      <c r="CW33" s="96">
        <f t="shared" si="39"/>
        <v>0</v>
      </c>
      <c r="CX33" s="96">
        <f t="shared" si="39"/>
        <v>0</v>
      </c>
      <c r="CY33" s="96">
        <f t="shared" si="39"/>
        <v>0</v>
      </c>
      <c r="CZ33" s="96">
        <f t="shared" si="40"/>
        <v>6</v>
      </c>
      <c r="DA33" s="96">
        <f t="shared" si="40"/>
        <v>6</v>
      </c>
      <c r="DB33" s="96">
        <f t="shared" si="40"/>
        <v>0</v>
      </c>
      <c r="DC33" s="96">
        <f t="shared" si="40"/>
        <v>0</v>
      </c>
      <c r="DD33" s="96">
        <f t="shared" si="40"/>
        <v>0</v>
      </c>
      <c r="DE33" s="96">
        <f t="shared" si="84"/>
        <v>6</v>
      </c>
      <c r="DF33" s="96">
        <f t="shared" si="84"/>
        <v>6</v>
      </c>
      <c r="DG33" s="96">
        <f t="shared" si="84"/>
        <v>0</v>
      </c>
      <c r="DH33" s="96">
        <f t="shared" si="84"/>
        <v>0</v>
      </c>
      <c r="DI33" s="96">
        <f t="shared" si="84"/>
        <v>0</v>
      </c>
      <c r="DJ33" s="96">
        <f t="shared" si="41"/>
        <v>5</v>
      </c>
      <c r="DK33" s="96">
        <f t="shared" si="41"/>
        <v>6</v>
      </c>
      <c r="DL33" s="96">
        <f t="shared" si="41"/>
        <v>0</v>
      </c>
      <c r="DM33" s="96">
        <f t="shared" si="41"/>
        <v>0</v>
      </c>
      <c r="DN33" s="96">
        <f t="shared" si="41"/>
        <v>0</v>
      </c>
      <c r="DO33" s="96">
        <f t="shared" si="42"/>
        <v>6</v>
      </c>
      <c r="DP33" s="96">
        <f t="shared" si="42"/>
        <v>6</v>
      </c>
      <c r="DQ33" s="96">
        <f t="shared" si="42"/>
        <v>0</v>
      </c>
      <c r="DR33" s="96">
        <f t="shared" si="42"/>
        <v>0</v>
      </c>
      <c r="DS33" s="96">
        <f t="shared" si="42"/>
        <v>0</v>
      </c>
      <c r="DT33" s="96">
        <f t="shared" si="43"/>
        <v>6</v>
      </c>
      <c r="DU33" s="96">
        <f t="shared" si="43"/>
        <v>6</v>
      </c>
      <c r="DV33" s="96">
        <f t="shared" si="43"/>
        <v>0</v>
      </c>
      <c r="DW33" s="96">
        <f t="shared" si="43"/>
        <v>0</v>
      </c>
      <c r="DX33" s="96">
        <f t="shared" si="43"/>
        <v>0</v>
      </c>
      <c r="DY33" s="97">
        <f t="shared" si="44"/>
        <v>6</v>
      </c>
      <c r="DZ33" s="97">
        <f t="shared" si="44"/>
        <v>6</v>
      </c>
      <c r="EA33" s="97">
        <f t="shared" si="44"/>
        <v>0</v>
      </c>
      <c r="EB33" s="97">
        <f t="shared" si="44"/>
        <v>0</v>
      </c>
      <c r="EC33" s="97">
        <f t="shared" si="44"/>
        <v>0</v>
      </c>
      <c r="ED33" s="96">
        <f t="shared" si="45"/>
        <v>6</v>
      </c>
      <c r="EE33" s="96">
        <f t="shared" si="45"/>
        <v>6</v>
      </c>
      <c r="EF33" s="96">
        <f t="shared" si="45"/>
        <v>0</v>
      </c>
      <c r="EG33" s="96">
        <f t="shared" si="45"/>
        <v>0</v>
      </c>
      <c r="EH33" s="96">
        <f t="shared" si="45"/>
        <v>0</v>
      </c>
      <c r="EI33" s="96">
        <f t="shared" si="46"/>
        <v>1</v>
      </c>
      <c r="EJ33" s="96">
        <f t="shared" si="46"/>
        <v>0</v>
      </c>
      <c r="EK33" s="96">
        <f t="shared" si="46"/>
        <v>0</v>
      </c>
      <c r="EL33" s="96">
        <f t="shared" si="46"/>
        <v>0</v>
      </c>
      <c r="EM33" s="115">
        <f t="shared" si="46"/>
        <v>0</v>
      </c>
      <c r="EN33" s="98">
        <f t="shared" si="85"/>
        <v>60</v>
      </c>
      <c r="EO33" s="98">
        <f t="shared" si="85"/>
        <v>60</v>
      </c>
      <c r="EP33" s="98">
        <f t="shared" si="85"/>
        <v>1</v>
      </c>
      <c r="EQ33" s="98">
        <f t="shared" si="85"/>
        <v>1</v>
      </c>
      <c r="ER33" s="98">
        <f t="shared" si="85"/>
        <v>1</v>
      </c>
    </row>
    <row r="34" spans="1:148" ht="17" thickBot="1" x14ac:dyDescent="0.25">
      <c r="A34" s="102" t="str">
        <f>'[1]Pay Table'!B10</f>
        <v>A</v>
      </c>
      <c r="B34" s="103">
        <v>0.5</v>
      </c>
      <c r="C34" s="103">
        <v>0.2</v>
      </c>
      <c r="D34" s="103">
        <v>0.1</v>
      </c>
      <c r="E34" s="104">
        <f>'[1]Pay Table'!F10</f>
        <v>0</v>
      </c>
      <c r="I34" s="88">
        <f t="shared" si="86"/>
        <v>8</v>
      </c>
      <c r="J34" s="27">
        <v>0</v>
      </c>
      <c r="K34">
        <v>1</v>
      </c>
      <c r="L34">
        <v>0</v>
      </c>
      <c r="M34">
        <v>0</v>
      </c>
      <c r="N34">
        <v>0</v>
      </c>
      <c r="O34">
        <f t="shared" si="3"/>
        <v>5.8838895318930023E-2</v>
      </c>
      <c r="P34" s="74">
        <f t="shared" si="47"/>
        <v>1</v>
      </c>
      <c r="Q34" s="114">
        <f t="shared" si="48"/>
        <v>8.3649243827160505E-2</v>
      </c>
      <c r="R34" s="89">
        <f t="shared" si="4"/>
        <v>0</v>
      </c>
      <c r="S34" s="52">
        <f t="shared" si="5"/>
        <v>0</v>
      </c>
      <c r="T34" s="90">
        <f t="shared" si="6"/>
        <v>0</v>
      </c>
      <c r="U34" s="89">
        <f t="shared" si="49"/>
        <v>12500</v>
      </c>
      <c r="V34" s="89">
        <f t="shared" si="50"/>
        <v>68750</v>
      </c>
      <c r="W34" s="89">
        <f t="shared" si="51"/>
        <v>412500</v>
      </c>
      <c r="X34" s="89">
        <f t="shared" si="52"/>
        <v>6480</v>
      </c>
      <c r="Y34" s="89">
        <f t="shared" si="53"/>
        <v>34992</v>
      </c>
      <c r="Z34" s="89">
        <f t="shared" si="54"/>
        <v>233280</v>
      </c>
      <c r="AA34" s="89">
        <f t="shared" si="55"/>
        <v>3888</v>
      </c>
      <c r="AB34" s="89">
        <f t="shared" si="56"/>
        <v>23328</v>
      </c>
      <c r="AC34" s="89">
        <f t="shared" si="57"/>
        <v>116640</v>
      </c>
      <c r="AD34" s="89">
        <f t="shared" si="58"/>
        <v>2592</v>
      </c>
      <c r="AE34" s="89">
        <f t="shared" si="59"/>
        <v>11664</v>
      </c>
      <c r="AF34" s="89">
        <f t="shared" si="60"/>
        <v>58320</v>
      </c>
      <c r="AG34" s="89">
        <f t="shared" si="61"/>
        <v>1296</v>
      </c>
      <c r="AH34" s="89">
        <f t="shared" si="62"/>
        <v>5832</v>
      </c>
      <c r="AI34" s="89">
        <f t="shared" si="63"/>
        <v>23328</v>
      </c>
      <c r="AJ34" s="89">
        <f t="shared" si="64"/>
        <v>375</v>
      </c>
      <c r="AK34" s="89">
        <f t="shared" si="65"/>
        <v>1650</v>
      </c>
      <c r="AL34" s="89">
        <f t="shared" si="66"/>
        <v>8100</v>
      </c>
      <c r="AM34" s="89">
        <f t="shared" si="67"/>
        <v>648</v>
      </c>
      <c r="AN34" s="89">
        <f t="shared" si="68"/>
        <v>2332.8000000000002</v>
      </c>
      <c r="AO34" s="89">
        <f t="shared" si="69"/>
        <v>11664</v>
      </c>
      <c r="AP34" s="89">
        <f t="shared" si="70"/>
        <v>648</v>
      </c>
      <c r="AQ34" s="89">
        <f t="shared" si="71"/>
        <v>2332.8000000000002</v>
      </c>
      <c r="AR34" s="89">
        <f t="shared" si="72"/>
        <v>11664</v>
      </c>
      <c r="AS34" s="89">
        <f t="shared" si="73"/>
        <v>648</v>
      </c>
      <c r="AT34" s="89">
        <f t="shared" si="74"/>
        <v>2332.8000000000002</v>
      </c>
      <c r="AU34" s="89">
        <f t="shared" si="75"/>
        <v>11664</v>
      </c>
      <c r="AV34" s="89">
        <f t="shared" si="76"/>
        <v>648</v>
      </c>
      <c r="AW34" s="89">
        <f t="shared" si="77"/>
        <v>2332.8000000000002</v>
      </c>
      <c r="AX34" s="89">
        <f t="shared" si="78"/>
        <v>11664</v>
      </c>
      <c r="AY34" s="89">
        <f t="shared" si="79"/>
        <v>0</v>
      </c>
      <c r="AZ34" s="52">
        <f t="shared" si="8"/>
        <v>0</v>
      </c>
      <c r="BA34" s="90">
        <f t="shared" si="9"/>
        <v>0</v>
      </c>
      <c r="BB34" s="91">
        <f t="shared" si="80"/>
        <v>625</v>
      </c>
      <c r="BC34" s="91">
        <f t="shared" si="10"/>
        <v>6875</v>
      </c>
      <c r="BD34" s="91">
        <f t="shared" si="11"/>
        <v>82500</v>
      </c>
      <c r="BE34" s="52">
        <f t="shared" si="12"/>
        <v>1296</v>
      </c>
      <c r="BF34" s="52">
        <f t="shared" si="13"/>
        <v>11664</v>
      </c>
      <c r="BG34" s="90">
        <f t="shared" si="14"/>
        <v>116640</v>
      </c>
      <c r="BH34" s="52">
        <f t="shared" si="15"/>
        <v>1296</v>
      </c>
      <c r="BI34" s="52">
        <f t="shared" si="16"/>
        <v>11664</v>
      </c>
      <c r="BJ34" s="92">
        <f t="shared" si="17"/>
        <v>116640</v>
      </c>
      <c r="BK34" s="91">
        <f t="shared" si="18"/>
        <v>1296</v>
      </c>
      <c r="BL34" s="91">
        <f t="shared" si="19"/>
        <v>11664</v>
      </c>
      <c r="BM34" s="93">
        <f t="shared" si="20"/>
        <v>116640</v>
      </c>
      <c r="BN34" s="92">
        <f t="shared" si="81"/>
        <v>1296</v>
      </c>
      <c r="BO34" s="92">
        <f t="shared" si="82"/>
        <v>11664</v>
      </c>
      <c r="BP34" s="92">
        <f t="shared" si="83"/>
        <v>116640</v>
      </c>
      <c r="BQ34" s="91">
        <f t="shared" si="21"/>
        <v>750</v>
      </c>
      <c r="BR34" s="91">
        <f t="shared" si="22"/>
        <v>8250</v>
      </c>
      <c r="BS34" s="93">
        <f t="shared" si="23"/>
        <v>81000</v>
      </c>
      <c r="BT34" s="91">
        <f t="shared" si="24"/>
        <v>1296</v>
      </c>
      <c r="BU34" s="91">
        <f t="shared" si="25"/>
        <v>11664</v>
      </c>
      <c r="BV34" s="94">
        <f t="shared" si="26"/>
        <v>116640</v>
      </c>
      <c r="BW34" s="52">
        <f t="shared" si="27"/>
        <v>1296</v>
      </c>
      <c r="BX34" s="52">
        <f t="shared" si="28"/>
        <v>11664</v>
      </c>
      <c r="BY34" s="90">
        <f t="shared" si="29"/>
        <v>116640</v>
      </c>
      <c r="BZ34" s="52">
        <f t="shared" si="30"/>
        <v>1296</v>
      </c>
      <c r="CA34" s="52">
        <f t="shared" si="31"/>
        <v>11664</v>
      </c>
      <c r="CB34" s="90">
        <f t="shared" si="32"/>
        <v>116640</v>
      </c>
      <c r="CC34" s="52">
        <f t="shared" si="33"/>
        <v>1296</v>
      </c>
      <c r="CD34" s="52">
        <f t="shared" si="34"/>
        <v>11664</v>
      </c>
      <c r="CE34" s="90">
        <f t="shared" si="35"/>
        <v>116640</v>
      </c>
      <c r="CF34" s="95">
        <f t="shared" si="36"/>
        <v>0</v>
      </c>
      <c r="CG34" s="97">
        <f t="shared" si="36"/>
        <v>1</v>
      </c>
      <c r="CH34" s="97">
        <f t="shared" si="36"/>
        <v>0</v>
      </c>
      <c r="CI34" s="97">
        <f t="shared" si="36"/>
        <v>0</v>
      </c>
      <c r="CJ34" s="97">
        <f t="shared" si="36"/>
        <v>0</v>
      </c>
      <c r="CK34" s="96">
        <f t="shared" si="37"/>
        <v>5</v>
      </c>
      <c r="CL34" s="96">
        <f t="shared" si="37"/>
        <v>0</v>
      </c>
      <c r="CM34" s="96">
        <f t="shared" si="37"/>
        <v>5</v>
      </c>
      <c r="CN34" s="96">
        <f t="shared" si="37"/>
        <v>5</v>
      </c>
      <c r="CO34" s="96">
        <f t="shared" si="37"/>
        <v>5</v>
      </c>
      <c r="CP34" s="96">
        <f t="shared" si="38"/>
        <v>6</v>
      </c>
      <c r="CQ34" s="96">
        <f t="shared" si="38"/>
        <v>0</v>
      </c>
      <c r="CR34" s="96">
        <f t="shared" si="38"/>
        <v>6</v>
      </c>
      <c r="CS34" s="96">
        <f t="shared" si="38"/>
        <v>6</v>
      </c>
      <c r="CT34" s="96">
        <f t="shared" si="38"/>
        <v>6</v>
      </c>
      <c r="CU34" s="96">
        <f t="shared" si="39"/>
        <v>6</v>
      </c>
      <c r="CV34" s="96">
        <f t="shared" si="39"/>
        <v>0</v>
      </c>
      <c r="CW34" s="96">
        <f t="shared" si="39"/>
        <v>6</v>
      </c>
      <c r="CX34" s="96">
        <f t="shared" si="39"/>
        <v>6</v>
      </c>
      <c r="CY34" s="96">
        <f t="shared" si="39"/>
        <v>6</v>
      </c>
      <c r="CZ34" s="96">
        <f t="shared" si="40"/>
        <v>6</v>
      </c>
      <c r="DA34" s="96">
        <f t="shared" si="40"/>
        <v>0</v>
      </c>
      <c r="DB34" s="96">
        <f t="shared" si="40"/>
        <v>6</v>
      </c>
      <c r="DC34" s="96">
        <f t="shared" si="40"/>
        <v>6</v>
      </c>
      <c r="DD34" s="96">
        <f t="shared" si="40"/>
        <v>6</v>
      </c>
      <c r="DE34" s="96">
        <f t="shared" si="84"/>
        <v>6</v>
      </c>
      <c r="DF34" s="96">
        <f t="shared" si="84"/>
        <v>0</v>
      </c>
      <c r="DG34" s="96">
        <f t="shared" si="84"/>
        <v>6</v>
      </c>
      <c r="DH34" s="96">
        <f t="shared" si="84"/>
        <v>6</v>
      </c>
      <c r="DI34" s="96">
        <f t="shared" si="84"/>
        <v>6</v>
      </c>
      <c r="DJ34" s="96">
        <f t="shared" si="41"/>
        <v>5</v>
      </c>
      <c r="DK34" s="96">
        <f t="shared" si="41"/>
        <v>0</v>
      </c>
      <c r="DL34" s="96">
        <f t="shared" si="41"/>
        <v>5</v>
      </c>
      <c r="DM34" s="96">
        <f t="shared" si="41"/>
        <v>6</v>
      </c>
      <c r="DN34" s="96">
        <f t="shared" si="41"/>
        <v>5</v>
      </c>
      <c r="DO34" s="96">
        <f t="shared" si="42"/>
        <v>6</v>
      </c>
      <c r="DP34" s="96">
        <f t="shared" si="42"/>
        <v>0</v>
      </c>
      <c r="DQ34" s="96">
        <f t="shared" si="42"/>
        <v>6</v>
      </c>
      <c r="DR34" s="96">
        <f t="shared" si="42"/>
        <v>6</v>
      </c>
      <c r="DS34" s="96">
        <f t="shared" si="42"/>
        <v>6</v>
      </c>
      <c r="DT34" s="96">
        <f t="shared" si="43"/>
        <v>6</v>
      </c>
      <c r="DU34" s="96">
        <f t="shared" si="43"/>
        <v>0</v>
      </c>
      <c r="DV34" s="96">
        <f t="shared" si="43"/>
        <v>6</v>
      </c>
      <c r="DW34" s="96">
        <f t="shared" si="43"/>
        <v>6</v>
      </c>
      <c r="DX34" s="96">
        <f t="shared" si="43"/>
        <v>6</v>
      </c>
      <c r="DY34" s="97">
        <f t="shared" si="44"/>
        <v>6</v>
      </c>
      <c r="DZ34" s="97">
        <f t="shared" si="44"/>
        <v>0</v>
      </c>
      <c r="EA34" s="97">
        <f t="shared" si="44"/>
        <v>6</v>
      </c>
      <c r="EB34" s="97">
        <f t="shared" si="44"/>
        <v>6</v>
      </c>
      <c r="EC34" s="97">
        <f t="shared" si="44"/>
        <v>6</v>
      </c>
      <c r="ED34" s="96">
        <f t="shared" si="45"/>
        <v>6</v>
      </c>
      <c r="EE34" s="96">
        <f t="shared" si="45"/>
        <v>0</v>
      </c>
      <c r="EF34" s="96">
        <f t="shared" si="45"/>
        <v>6</v>
      </c>
      <c r="EG34" s="96">
        <f t="shared" si="45"/>
        <v>6</v>
      </c>
      <c r="EH34" s="96">
        <f t="shared" si="45"/>
        <v>6</v>
      </c>
      <c r="EI34" s="96">
        <f t="shared" si="46"/>
        <v>1</v>
      </c>
      <c r="EJ34" s="96">
        <f t="shared" si="46"/>
        <v>0</v>
      </c>
      <c r="EK34" s="96">
        <f t="shared" si="46"/>
        <v>1</v>
      </c>
      <c r="EL34" s="96">
        <f t="shared" si="46"/>
        <v>0</v>
      </c>
      <c r="EM34" s="115">
        <f t="shared" si="46"/>
        <v>1</v>
      </c>
      <c r="EN34" s="98">
        <f t="shared" si="85"/>
        <v>60</v>
      </c>
      <c r="EO34" s="98">
        <f t="shared" si="85"/>
        <v>1</v>
      </c>
      <c r="EP34" s="98">
        <f t="shared" si="85"/>
        <v>60</v>
      </c>
      <c r="EQ34" s="98">
        <f t="shared" si="85"/>
        <v>60</v>
      </c>
      <c r="ER34" s="98">
        <f t="shared" si="85"/>
        <v>60</v>
      </c>
    </row>
    <row r="35" spans="1:148" ht="17" thickBot="1" x14ac:dyDescent="0.25">
      <c r="A35" s="102" t="str">
        <f>'[1]Pay Table'!B11</f>
        <v>K</v>
      </c>
      <c r="B35" s="103">
        <v>0.5</v>
      </c>
      <c r="C35" s="103">
        <v>0.2</v>
      </c>
      <c r="D35" s="103">
        <v>0.1</v>
      </c>
      <c r="E35" s="104">
        <f>'[1]Pay Table'!F11</f>
        <v>0</v>
      </c>
      <c r="I35" s="88">
        <f t="shared" si="86"/>
        <v>9</v>
      </c>
      <c r="J35" s="27">
        <v>0</v>
      </c>
      <c r="K35">
        <v>1</v>
      </c>
      <c r="L35">
        <v>0</v>
      </c>
      <c r="M35">
        <v>0</v>
      </c>
      <c r="N35">
        <v>1</v>
      </c>
      <c r="O35">
        <f t="shared" si="3"/>
        <v>5.348990483539093E-3</v>
      </c>
      <c r="P35" s="74">
        <f t="shared" si="47"/>
        <v>2</v>
      </c>
      <c r="Q35" s="114">
        <f t="shared" si="48"/>
        <v>9.4275000000000025E-2</v>
      </c>
      <c r="R35" s="89">
        <f t="shared" si="4"/>
        <v>0</v>
      </c>
      <c r="S35" s="52">
        <f t="shared" si="5"/>
        <v>0</v>
      </c>
      <c r="T35" s="90">
        <f t="shared" si="6"/>
        <v>0</v>
      </c>
      <c r="U35" s="89">
        <f t="shared" si="49"/>
        <v>2500</v>
      </c>
      <c r="V35" s="89">
        <f t="shared" si="50"/>
        <v>0</v>
      </c>
      <c r="W35" s="89">
        <f t="shared" si="51"/>
        <v>6875</v>
      </c>
      <c r="X35" s="89">
        <f t="shared" si="52"/>
        <v>1080</v>
      </c>
      <c r="Y35" s="89">
        <f t="shared" si="53"/>
        <v>0</v>
      </c>
      <c r="Z35" s="89">
        <f t="shared" si="54"/>
        <v>3888</v>
      </c>
      <c r="AA35" s="89">
        <f t="shared" si="55"/>
        <v>648</v>
      </c>
      <c r="AB35" s="89">
        <f t="shared" si="56"/>
        <v>0</v>
      </c>
      <c r="AC35" s="89">
        <f t="shared" si="57"/>
        <v>1944</v>
      </c>
      <c r="AD35" s="89">
        <f t="shared" si="58"/>
        <v>432</v>
      </c>
      <c r="AE35" s="89">
        <f t="shared" si="59"/>
        <v>0</v>
      </c>
      <c r="AF35" s="89">
        <f t="shared" si="60"/>
        <v>972</v>
      </c>
      <c r="AG35" s="89">
        <f t="shared" si="61"/>
        <v>216</v>
      </c>
      <c r="AH35" s="89">
        <f t="shared" si="62"/>
        <v>0</v>
      </c>
      <c r="AI35" s="89">
        <f t="shared" si="63"/>
        <v>388.8</v>
      </c>
      <c r="AJ35" s="89">
        <f t="shared" si="64"/>
        <v>75</v>
      </c>
      <c r="AK35" s="89">
        <f t="shared" si="65"/>
        <v>0</v>
      </c>
      <c r="AL35" s="89">
        <f t="shared" si="66"/>
        <v>135</v>
      </c>
      <c r="AM35" s="89">
        <f t="shared" si="67"/>
        <v>108</v>
      </c>
      <c r="AN35" s="89">
        <f t="shared" si="68"/>
        <v>0</v>
      </c>
      <c r="AO35" s="89">
        <f t="shared" si="69"/>
        <v>194.4</v>
      </c>
      <c r="AP35" s="89">
        <f t="shared" si="70"/>
        <v>108</v>
      </c>
      <c r="AQ35" s="89">
        <f t="shared" si="71"/>
        <v>0</v>
      </c>
      <c r="AR35" s="89">
        <f t="shared" si="72"/>
        <v>194.4</v>
      </c>
      <c r="AS35" s="89">
        <f t="shared" si="73"/>
        <v>108</v>
      </c>
      <c r="AT35" s="89">
        <f t="shared" si="74"/>
        <v>0</v>
      </c>
      <c r="AU35" s="89">
        <f t="shared" si="75"/>
        <v>194.4</v>
      </c>
      <c r="AV35" s="89">
        <f t="shared" si="76"/>
        <v>108</v>
      </c>
      <c r="AW35" s="89">
        <f t="shared" si="77"/>
        <v>0</v>
      </c>
      <c r="AX35" s="89">
        <f t="shared" si="78"/>
        <v>194.4</v>
      </c>
      <c r="AY35" s="89">
        <f t="shared" si="79"/>
        <v>0</v>
      </c>
      <c r="AZ35" s="52">
        <f t="shared" si="8"/>
        <v>0</v>
      </c>
      <c r="BA35" s="90">
        <f t="shared" si="9"/>
        <v>0</v>
      </c>
      <c r="BB35" s="91">
        <f t="shared" si="80"/>
        <v>125</v>
      </c>
      <c r="BC35" s="91">
        <f t="shared" si="10"/>
        <v>0</v>
      </c>
      <c r="BD35" s="91">
        <f t="shared" si="11"/>
        <v>1375</v>
      </c>
      <c r="BE35" s="52">
        <f t="shared" si="12"/>
        <v>216</v>
      </c>
      <c r="BF35" s="52">
        <f t="shared" si="13"/>
        <v>0</v>
      </c>
      <c r="BG35" s="90">
        <f t="shared" si="14"/>
        <v>1944</v>
      </c>
      <c r="BH35" s="52">
        <f t="shared" si="15"/>
        <v>216</v>
      </c>
      <c r="BI35" s="52">
        <f t="shared" si="16"/>
        <v>0</v>
      </c>
      <c r="BJ35" s="92">
        <f t="shared" si="17"/>
        <v>1944</v>
      </c>
      <c r="BK35" s="91">
        <f t="shared" si="18"/>
        <v>216</v>
      </c>
      <c r="BL35" s="91">
        <f t="shared" si="19"/>
        <v>0</v>
      </c>
      <c r="BM35" s="93">
        <f t="shared" si="20"/>
        <v>1944</v>
      </c>
      <c r="BN35" s="92">
        <f t="shared" si="81"/>
        <v>216</v>
      </c>
      <c r="BO35" s="92">
        <f t="shared" si="82"/>
        <v>0</v>
      </c>
      <c r="BP35" s="92">
        <f t="shared" si="83"/>
        <v>1944</v>
      </c>
      <c r="BQ35" s="91">
        <f t="shared" si="21"/>
        <v>150</v>
      </c>
      <c r="BR35" s="91">
        <f t="shared" si="22"/>
        <v>0</v>
      </c>
      <c r="BS35" s="93">
        <f t="shared" si="23"/>
        <v>1350</v>
      </c>
      <c r="BT35" s="91">
        <f t="shared" si="24"/>
        <v>216</v>
      </c>
      <c r="BU35" s="91">
        <f t="shared" si="25"/>
        <v>0</v>
      </c>
      <c r="BV35" s="94">
        <f t="shared" si="26"/>
        <v>1944</v>
      </c>
      <c r="BW35" s="52">
        <f t="shared" si="27"/>
        <v>216</v>
      </c>
      <c r="BX35" s="52">
        <f t="shared" si="28"/>
        <v>0</v>
      </c>
      <c r="BY35" s="90">
        <f t="shared" si="29"/>
        <v>1944</v>
      </c>
      <c r="BZ35" s="52">
        <f t="shared" si="30"/>
        <v>216</v>
      </c>
      <c r="CA35" s="52">
        <f t="shared" si="31"/>
        <v>0</v>
      </c>
      <c r="CB35" s="90">
        <f t="shared" si="32"/>
        <v>1944</v>
      </c>
      <c r="CC35" s="52">
        <f t="shared" si="33"/>
        <v>216</v>
      </c>
      <c r="CD35" s="52">
        <f t="shared" si="34"/>
        <v>0</v>
      </c>
      <c r="CE35" s="90">
        <f t="shared" si="35"/>
        <v>1944</v>
      </c>
      <c r="CF35" s="95">
        <f t="shared" si="36"/>
        <v>0</v>
      </c>
      <c r="CG35" s="97">
        <f t="shared" si="36"/>
        <v>1</v>
      </c>
      <c r="CH35" s="97">
        <f t="shared" si="36"/>
        <v>0</v>
      </c>
      <c r="CI35" s="97">
        <f t="shared" si="36"/>
        <v>0</v>
      </c>
      <c r="CJ35" s="97">
        <f t="shared" si="36"/>
        <v>1</v>
      </c>
      <c r="CK35" s="96">
        <f t="shared" si="37"/>
        <v>5</v>
      </c>
      <c r="CL35" s="96">
        <f t="shared" si="37"/>
        <v>0</v>
      </c>
      <c r="CM35" s="96">
        <f t="shared" si="37"/>
        <v>5</v>
      </c>
      <c r="CN35" s="96">
        <f t="shared" si="37"/>
        <v>5</v>
      </c>
      <c r="CO35" s="96">
        <f t="shared" si="37"/>
        <v>0</v>
      </c>
      <c r="CP35" s="96">
        <f t="shared" si="38"/>
        <v>6</v>
      </c>
      <c r="CQ35" s="96">
        <f t="shared" si="38"/>
        <v>0</v>
      </c>
      <c r="CR35" s="96">
        <f t="shared" si="38"/>
        <v>6</v>
      </c>
      <c r="CS35" s="96">
        <f t="shared" si="38"/>
        <v>6</v>
      </c>
      <c r="CT35" s="96">
        <f t="shared" si="38"/>
        <v>0</v>
      </c>
      <c r="CU35" s="96">
        <f t="shared" si="39"/>
        <v>6</v>
      </c>
      <c r="CV35" s="96">
        <f t="shared" si="39"/>
        <v>0</v>
      </c>
      <c r="CW35" s="96">
        <f t="shared" si="39"/>
        <v>6</v>
      </c>
      <c r="CX35" s="96">
        <f t="shared" si="39"/>
        <v>6</v>
      </c>
      <c r="CY35" s="96">
        <f t="shared" si="39"/>
        <v>0</v>
      </c>
      <c r="CZ35" s="96">
        <f t="shared" si="40"/>
        <v>6</v>
      </c>
      <c r="DA35" s="96">
        <f t="shared" si="40"/>
        <v>0</v>
      </c>
      <c r="DB35" s="96">
        <f t="shared" si="40"/>
        <v>6</v>
      </c>
      <c r="DC35" s="96">
        <f t="shared" si="40"/>
        <v>6</v>
      </c>
      <c r="DD35" s="96">
        <f t="shared" si="40"/>
        <v>0</v>
      </c>
      <c r="DE35" s="96">
        <f t="shared" si="84"/>
        <v>6</v>
      </c>
      <c r="DF35" s="96">
        <f t="shared" si="84"/>
        <v>0</v>
      </c>
      <c r="DG35" s="96">
        <f t="shared" si="84"/>
        <v>6</v>
      </c>
      <c r="DH35" s="96">
        <f t="shared" si="84"/>
        <v>6</v>
      </c>
      <c r="DI35" s="96">
        <f t="shared" si="84"/>
        <v>0</v>
      </c>
      <c r="DJ35" s="96">
        <f t="shared" si="41"/>
        <v>5</v>
      </c>
      <c r="DK35" s="96">
        <f t="shared" si="41"/>
        <v>0</v>
      </c>
      <c r="DL35" s="96">
        <f t="shared" si="41"/>
        <v>5</v>
      </c>
      <c r="DM35" s="96">
        <f t="shared" si="41"/>
        <v>6</v>
      </c>
      <c r="DN35" s="96">
        <f t="shared" si="41"/>
        <v>0</v>
      </c>
      <c r="DO35" s="96">
        <f t="shared" si="42"/>
        <v>6</v>
      </c>
      <c r="DP35" s="96">
        <f t="shared" si="42"/>
        <v>0</v>
      </c>
      <c r="DQ35" s="96">
        <f t="shared" si="42"/>
        <v>6</v>
      </c>
      <c r="DR35" s="96">
        <f t="shared" si="42"/>
        <v>6</v>
      </c>
      <c r="DS35" s="96">
        <f t="shared" si="42"/>
        <v>0</v>
      </c>
      <c r="DT35" s="96">
        <f t="shared" si="43"/>
        <v>6</v>
      </c>
      <c r="DU35" s="96">
        <f t="shared" si="43"/>
        <v>0</v>
      </c>
      <c r="DV35" s="96">
        <f t="shared" si="43"/>
        <v>6</v>
      </c>
      <c r="DW35" s="96">
        <f t="shared" si="43"/>
        <v>6</v>
      </c>
      <c r="DX35" s="96">
        <f t="shared" si="43"/>
        <v>0</v>
      </c>
      <c r="DY35" s="97">
        <f t="shared" si="44"/>
        <v>6</v>
      </c>
      <c r="DZ35" s="97">
        <f t="shared" si="44"/>
        <v>0</v>
      </c>
      <c r="EA35" s="97">
        <f t="shared" si="44"/>
        <v>6</v>
      </c>
      <c r="EB35" s="97">
        <f t="shared" si="44"/>
        <v>6</v>
      </c>
      <c r="EC35" s="97">
        <f t="shared" si="44"/>
        <v>0</v>
      </c>
      <c r="ED35" s="96">
        <f t="shared" si="45"/>
        <v>6</v>
      </c>
      <c r="EE35" s="96">
        <f t="shared" si="45"/>
        <v>0</v>
      </c>
      <c r="EF35" s="96">
        <f t="shared" si="45"/>
        <v>6</v>
      </c>
      <c r="EG35" s="96">
        <f t="shared" si="45"/>
        <v>6</v>
      </c>
      <c r="EH35" s="96">
        <f t="shared" si="45"/>
        <v>0</v>
      </c>
      <c r="EI35" s="96">
        <f t="shared" si="46"/>
        <v>1</v>
      </c>
      <c r="EJ35" s="96">
        <f t="shared" si="46"/>
        <v>0</v>
      </c>
      <c r="EK35" s="96">
        <f t="shared" si="46"/>
        <v>1</v>
      </c>
      <c r="EL35" s="96">
        <f t="shared" si="46"/>
        <v>0</v>
      </c>
      <c r="EM35" s="115">
        <f t="shared" si="46"/>
        <v>0</v>
      </c>
      <c r="EN35" s="98">
        <f t="shared" si="85"/>
        <v>60</v>
      </c>
      <c r="EO35" s="98">
        <f t="shared" si="85"/>
        <v>1</v>
      </c>
      <c r="EP35" s="98">
        <f t="shared" si="85"/>
        <v>60</v>
      </c>
      <c r="EQ35" s="98">
        <f t="shared" si="85"/>
        <v>60</v>
      </c>
      <c r="ER35" s="98">
        <f t="shared" si="85"/>
        <v>1</v>
      </c>
    </row>
    <row r="36" spans="1:148" ht="17" thickBot="1" x14ac:dyDescent="0.25">
      <c r="A36" s="102" t="str">
        <f>'[1]Pay Table'!B12</f>
        <v>Q</v>
      </c>
      <c r="B36" s="103">
        <v>0.5</v>
      </c>
      <c r="C36" s="103">
        <v>0.2</v>
      </c>
      <c r="D36" s="103">
        <v>0.1</v>
      </c>
      <c r="E36" s="104">
        <f>'[1]Pay Table'!F12</f>
        <v>0</v>
      </c>
      <c r="I36" s="88">
        <f t="shared" si="86"/>
        <v>10</v>
      </c>
      <c r="J36" s="27">
        <v>0</v>
      </c>
      <c r="K36">
        <v>1</v>
      </c>
      <c r="L36">
        <v>0</v>
      </c>
      <c r="M36">
        <v>1</v>
      </c>
      <c r="N36">
        <v>0</v>
      </c>
      <c r="O36">
        <f t="shared" si="3"/>
        <v>5.3489904835390938E-3</v>
      </c>
      <c r="P36" s="74">
        <f t="shared" si="47"/>
        <v>2</v>
      </c>
      <c r="Q36" s="114">
        <f t="shared" si="48"/>
        <v>0.1554939814814815</v>
      </c>
      <c r="R36" s="89">
        <f t="shared" si="4"/>
        <v>0</v>
      </c>
      <c r="S36" s="52">
        <f t="shared" si="5"/>
        <v>0</v>
      </c>
      <c r="T36" s="90">
        <f t="shared" si="6"/>
        <v>0</v>
      </c>
      <c r="U36" s="89">
        <f t="shared" si="49"/>
        <v>2500</v>
      </c>
      <c r="V36" s="89">
        <f t="shared" si="50"/>
        <v>13750</v>
      </c>
      <c r="W36" s="89">
        <f t="shared" si="51"/>
        <v>0</v>
      </c>
      <c r="X36" s="89">
        <f t="shared" si="52"/>
        <v>1080</v>
      </c>
      <c r="Y36" s="89">
        <f t="shared" si="53"/>
        <v>5832</v>
      </c>
      <c r="Z36" s="89">
        <f t="shared" si="54"/>
        <v>0</v>
      </c>
      <c r="AA36" s="89">
        <f t="shared" si="55"/>
        <v>648</v>
      </c>
      <c r="AB36" s="89">
        <f t="shared" si="56"/>
        <v>3888</v>
      </c>
      <c r="AC36" s="89">
        <f t="shared" si="57"/>
        <v>0</v>
      </c>
      <c r="AD36" s="89">
        <f t="shared" si="58"/>
        <v>432</v>
      </c>
      <c r="AE36" s="89">
        <f t="shared" si="59"/>
        <v>1944</v>
      </c>
      <c r="AF36" s="89">
        <f t="shared" si="60"/>
        <v>0</v>
      </c>
      <c r="AG36" s="89">
        <f t="shared" si="61"/>
        <v>216</v>
      </c>
      <c r="AH36" s="89">
        <f t="shared" si="62"/>
        <v>972</v>
      </c>
      <c r="AI36" s="89">
        <f t="shared" si="63"/>
        <v>0</v>
      </c>
      <c r="AJ36" s="89">
        <f t="shared" si="64"/>
        <v>62.5</v>
      </c>
      <c r="AK36" s="89">
        <f t="shared" si="65"/>
        <v>275</v>
      </c>
      <c r="AL36" s="89">
        <f t="shared" si="66"/>
        <v>0</v>
      </c>
      <c r="AM36" s="89">
        <f t="shared" si="67"/>
        <v>108</v>
      </c>
      <c r="AN36" s="89">
        <f t="shared" si="68"/>
        <v>388.8</v>
      </c>
      <c r="AO36" s="89">
        <f t="shared" si="69"/>
        <v>0</v>
      </c>
      <c r="AP36" s="89">
        <f t="shared" si="70"/>
        <v>108</v>
      </c>
      <c r="AQ36" s="89">
        <f t="shared" si="71"/>
        <v>388.8</v>
      </c>
      <c r="AR36" s="89">
        <f t="shared" si="72"/>
        <v>0</v>
      </c>
      <c r="AS36" s="89">
        <f t="shared" si="73"/>
        <v>108</v>
      </c>
      <c r="AT36" s="89">
        <f t="shared" si="74"/>
        <v>388.8</v>
      </c>
      <c r="AU36" s="89">
        <f t="shared" si="75"/>
        <v>0</v>
      </c>
      <c r="AV36" s="89">
        <f t="shared" si="76"/>
        <v>108</v>
      </c>
      <c r="AW36" s="89">
        <f t="shared" si="77"/>
        <v>388.8</v>
      </c>
      <c r="AX36" s="89">
        <f t="shared" si="78"/>
        <v>0</v>
      </c>
      <c r="AY36" s="89">
        <f t="shared" si="79"/>
        <v>0</v>
      </c>
      <c r="AZ36" s="52">
        <f t="shared" si="8"/>
        <v>0</v>
      </c>
      <c r="BA36" s="90">
        <f t="shared" si="9"/>
        <v>0</v>
      </c>
      <c r="BB36" s="91">
        <f t="shared" si="80"/>
        <v>125</v>
      </c>
      <c r="BC36" s="91">
        <f t="shared" si="10"/>
        <v>1375</v>
      </c>
      <c r="BD36" s="91">
        <f t="shared" si="11"/>
        <v>0</v>
      </c>
      <c r="BE36" s="52">
        <f t="shared" si="12"/>
        <v>216</v>
      </c>
      <c r="BF36" s="52">
        <f t="shared" si="13"/>
        <v>1944</v>
      </c>
      <c r="BG36" s="90">
        <f t="shared" si="14"/>
        <v>0</v>
      </c>
      <c r="BH36" s="52">
        <f t="shared" si="15"/>
        <v>216</v>
      </c>
      <c r="BI36" s="52">
        <f t="shared" si="16"/>
        <v>1944</v>
      </c>
      <c r="BJ36" s="92">
        <f t="shared" si="17"/>
        <v>0</v>
      </c>
      <c r="BK36" s="91">
        <f t="shared" si="18"/>
        <v>216</v>
      </c>
      <c r="BL36" s="91">
        <f t="shared" si="19"/>
        <v>1944</v>
      </c>
      <c r="BM36" s="93">
        <f t="shared" si="20"/>
        <v>0</v>
      </c>
      <c r="BN36" s="92">
        <f t="shared" si="81"/>
        <v>216</v>
      </c>
      <c r="BO36" s="92">
        <f t="shared" si="82"/>
        <v>1944</v>
      </c>
      <c r="BP36" s="92">
        <f t="shared" si="83"/>
        <v>0</v>
      </c>
      <c r="BQ36" s="91">
        <f t="shared" si="21"/>
        <v>125</v>
      </c>
      <c r="BR36" s="91">
        <f t="shared" si="22"/>
        <v>1375</v>
      </c>
      <c r="BS36" s="93">
        <f t="shared" si="23"/>
        <v>0</v>
      </c>
      <c r="BT36" s="91">
        <f t="shared" si="24"/>
        <v>216</v>
      </c>
      <c r="BU36" s="91">
        <f t="shared" si="25"/>
        <v>1944</v>
      </c>
      <c r="BV36" s="94">
        <f t="shared" si="26"/>
        <v>0</v>
      </c>
      <c r="BW36" s="52">
        <f t="shared" si="27"/>
        <v>216</v>
      </c>
      <c r="BX36" s="52">
        <f t="shared" si="28"/>
        <v>1944</v>
      </c>
      <c r="BY36" s="90">
        <f t="shared" si="29"/>
        <v>0</v>
      </c>
      <c r="BZ36" s="52">
        <f t="shared" si="30"/>
        <v>216</v>
      </c>
      <c r="CA36" s="52">
        <f t="shared" si="31"/>
        <v>1944</v>
      </c>
      <c r="CB36" s="90">
        <f t="shared" si="32"/>
        <v>0</v>
      </c>
      <c r="CC36" s="52">
        <f t="shared" si="33"/>
        <v>216</v>
      </c>
      <c r="CD36" s="52">
        <f t="shared" si="34"/>
        <v>1944</v>
      </c>
      <c r="CE36" s="90">
        <f t="shared" si="35"/>
        <v>0</v>
      </c>
      <c r="CF36" s="95">
        <f t="shared" si="36"/>
        <v>0</v>
      </c>
      <c r="CG36" s="97">
        <f t="shared" si="36"/>
        <v>1</v>
      </c>
      <c r="CH36" s="97">
        <f t="shared" si="36"/>
        <v>0</v>
      </c>
      <c r="CI36" s="97">
        <f t="shared" si="36"/>
        <v>1</v>
      </c>
      <c r="CJ36" s="97">
        <f t="shared" si="36"/>
        <v>0</v>
      </c>
      <c r="CK36" s="96">
        <f t="shared" si="37"/>
        <v>5</v>
      </c>
      <c r="CL36" s="96">
        <f t="shared" si="37"/>
        <v>0</v>
      </c>
      <c r="CM36" s="96">
        <f t="shared" si="37"/>
        <v>5</v>
      </c>
      <c r="CN36" s="96">
        <f t="shared" si="37"/>
        <v>0</v>
      </c>
      <c r="CO36" s="96">
        <f t="shared" si="37"/>
        <v>5</v>
      </c>
      <c r="CP36" s="96">
        <f t="shared" si="38"/>
        <v>6</v>
      </c>
      <c r="CQ36" s="96">
        <f t="shared" si="38"/>
        <v>0</v>
      </c>
      <c r="CR36" s="96">
        <f t="shared" si="38"/>
        <v>6</v>
      </c>
      <c r="CS36" s="96">
        <f t="shared" si="38"/>
        <v>0</v>
      </c>
      <c r="CT36" s="96">
        <f t="shared" si="38"/>
        <v>6</v>
      </c>
      <c r="CU36" s="96">
        <f t="shared" si="39"/>
        <v>6</v>
      </c>
      <c r="CV36" s="96">
        <f t="shared" si="39"/>
        <v>0</v>
      </c>
      <c r="CW36" s="96">
        <f t="shared" si="39"/>
        <v>6</v>
      </c>
      <c r="CX36" s="96">
        <f t="shared" si="39"/>
        <v>0</v>
      </c>
      <c r="CY36" s="96">
        <f t="shared" si="39"/>
        <v>6</v>
      </c>
      <c r="CZ36" s="96">
        <f t="shared" si="40"/>
        <v>6</v>
      </c>
      <c r="DA36" s="96">
        <f t="shared" si="40"/>
        <v>0</v>
      </c>
      <c r="DB36" s="96">
        <f t="shared" si="40"/>
        <v>6</v>
      </c>
      <c r="DC36" s="96">
        <f t="shared" si="40"/>
        <v>0</v>
      </c>
      <c r="DD36" s="96">
        <f t="shared" si="40"/>
        <v>6</v>
      </c>
      <c r="DE36" s="96">
        <f t="shared" si="84"/>
        <v>6</v>
      </c>
      <c r="DF36" s="96">
        <f t="shared" si="84"/>
        <v>0</v>
      </c>
      <c r="DG36" s="96">
        <f t="shared" si="84"/>
        <v>6</v>
      </c>
      <c r="DH36" s="96">
        <f t="shared" si="84"/>
        <v>0</v>
      </c>
      <c r="DI36" s="96">
        <f t="shared" si="84"/>
        <v>6</v>
      </c>
      <c r="DJ36" s="96">
        <f t="shared" si="41"/>
        <v>5</v>
      </c>
      <c r="DK36" s="96">
        <f t="shared" si="41"/>
        <v>0</v>
      </c>
      <c r="DL36" s="96">
        <f t="shared" si="41"/>
        <v>5</v>
      </c>
      <c r="DM36" s="96">
        <f t="shared" si="41"/>
        <v>0</v>
      </c>
      <c r="DN36" s="96">
        <f t="shared" si="41"/>
        <v>5</v>
      </c>
      <c r="DO36" s="96">
        <f t="shared" si="42"/>
        <v>6</v>
      </c>
      <c r="DP36" s="96">
        <f t="shared" si="42"/>
        <v>0</v>
      </c>
      <c r="DQ36" s="96">
        <f t="shared" si="42"/>
        <v>6</v>
      </c>
      <c r="DR36" s="96">
        <f t="shared" si="42"/>
        <v>0</v>
      </c>
      <c r="DS36" s="96">
        <f t="shared" si="42"/>
        <v>6</v>
      </c>
      <c r="DT36" s="96">
        <f t="shared" si="43"/>
        <v>6</v>
      </c>
      <c r="DU36" s="96">
        <f t="shared" si="43"/>
        <v>0</v>
      </c>
      <c r="DV36" s="96">
        <f t="shared" si="43"/>
        <v>6</v>
      </c>
      <c r="DW36" s="96">
        <f t="shared" si="43"/>
        <v>0</v>
      </c>
      <c r="DX36" s="96">
        <f t="shared" si="43"/>
        <v>6</v>
      </c>
      <c r="DY36" s="97">
        <f t="shared" si="44"/>
        <v>6</v>
      </c>
      <c r="DZ36" s="97">
        <f t="shared" si="44"/>
        <v>0</v>
      </c>
      <c r="EA36" s="97">
        <f t="shared" si="44"/>
        <v>6</v>
      </c>
      <c r="EB36" s="97">
        <f t="shared" si="44"/>
        <v>0</v>
      </c>
      <c r="EC36" s="97">
        <f t="shared" si="44"/>
        <v>6</v>
      </c>
      <c r="ED36" s="96">
        <f t="shared" si="45"/>
        <v>6</v>
      </c>
      <c r="EE36" s="96">
        <f t="shared" si="45"/>
        <v>0</v>
      </c>
      <c r="EF36" s="96">
        <f t="shared" si="45"/>
        <v>6</v>
      </c>
      <c r="EG36" s="96">
        <f t="shared" si="45"/>
        <v>0</v>
      </c>
      <c r="EH36" s="96">
        <f t="shared" si="45"/>
        <v>6</v>
      </c>
      <c r="EI36" s="96">
        <f t="shared" si="46"/>
        <v>1</v>
      </c>
      <c r="EJ36" s="96">
        <f t="shared" si="46"/>
        <v>0</v>
      </c>
      <c r="EK36" s="96">
        <f t="shared" si="46"/>
        <v>1</v>
      </c>
      <c r="EL36" s="96">
        <f t="shared" si="46"/>
        <v>0</v>
      </c>
      <c r="EM36" s="115">
        <f t="shared" si="46"/>
        <v>1</v>
      </c>
      <c r="EN36" s="98">
        <f t="shared" si="85"/>
        <v>60</v>
      </c>
      <c r="EO36" s="98">
        <f t="shared" si="85"/>
        <v>1</v>
      </c>
      <c r="EP36" s="98">
        <f t="shared" si="85"/>
        <v>60</v>
      </c>
      <c r="EQ36" s="98">
        <f t="shared" si="85"/>
        <v>1</v>
      </c>
      <c r="ER36" s="98">
        <f t="shared" si="85"/>
        <v>60</v>
      </c>
    </row>
    <row r="37" spans="1:148" ht="17" thickBot="1" x14ac:dyDescent="0.25">
      <c r="A37" s="102" t="str">
        <f>'[1]Pay Table'!B13</f>
        <v>J</v>
      </c>
      <c r="B37" s="103">
        <v>0.5</v>
      </c>
      <c r="C37" s="103">
        <v>0.2</v>
      </c>
      <c r="D37" s="103">
        <v>0.1</v>
      </c>
      <c r="E37" s="104">
        <f>'[1]Pay Table'!F13</f>
        <v>0</v>
      </c>
      <c r="I37" s="88">
        <f t="shared" si="86"/>
        <v>11</v>
      </c>
      <c r="J37" s="27">
        <v>0</v>
      </c>
      <c r="K37">
        <v>1</v>
      </c>
      <c r="L37">
        <v>0</v>
      </c>
      <c r="M37">
        <v>1</v>
      </c>
      <c r="N37">
        <v>1</v>
      </c>
      <c r="O37">
        <f t="shared" si="3"/>
        <v>4.862718621399176E-4</v>
      </c>
      <c r="P37" s="74">
        <f t="shared" si="47"/>
        <v>3</v>
      </c>
      <c r="Q37" s="114">
        <f t="shared" si="48"/>
        <v>0.27236111111111111</v>
      </c>
      <c r="R37" s="89">
        <f t="shared" si="4"/>
        <v>0</v>
      </c>
      <c r="S37" s="52">
        <f t="shared" si="5"/>
        <v>0</v>
      </c>
      <c r="T37" s="90">
        <f t="shared" si="6"/>
        <v>0</v>
      </c>
      <c r="U37" s="89">
        <f t="shared" si="49"/>
        <v>500</v>
      </c>
      <c r="V37" s="89">
        <f t="shared" si="50"/>
        <v>0</v>
      </c>
      <c r="W37" s="89">
        <f t="shared" si="51"/>
        <v>0</v>
      </c>
      <c r="X37" s="89">
        <f t="shared" si="52"/>
        <v>180</v>
      </c>
      <c r="Y37" s="89">
        <f t="shared" si="53"/>
        <v>0</v>
      </c>
      <c r="Z37" s="89">
        <f t="shared" si="54"/>
        <v>0</v>
      </c>
      <c r="AA37" s="89">
        <f t="shared" si="55"/>
        <v>108</v>
      </c>
      <c r="AB37" s="89">
        <f t="shared" si="56"/>
        <v>0</v>
      </c>
      <c r="AC37" s="89">
        <f t="shared" si="57"/>
        <v>0</v>
      </c>
      <c r="AD37" s="89">
        <f t="shared" si="58"/>
        <v>72</v>
      </c>
      <c r="AE37" s="89">
        <f t="shared" si="59"/>
        <v>0</v>
      </c>
      <c r="AF37" s="89">
        <f t="shared" si="60"/>
        <v>0</v>
      </c>
      <c r="AG37" s="89">
        <f t="shared" si="61"/>
        <v>36</v>
      </c>
      <c r="AH37" s="89">
        <f t="shared" si="62"/>
        <v>0</v>
      </c>
      <c r="AI37" s="89">
        <f t="shared" si="63"/>
        <v>0</v>
      </c>
      <c r="AJ37" s="89">
        <f t="shared" si="64"/>
        <v>12.5</v>
      </c>
      <c r="AK37" s="89">
        <f t="shared" si="65"/>
        <v>0</v>
      </c>
      <c r="AL37" s="89">
        <f t="shared" si="66"/>
        <v>0</v>
      </c>
      <c r="AM37" s="89">
        <f t="shared" si="67"/>
        <v>18</v>
      </c>
      <c r="AN37" s="89">
        <f t="shared" si="68"/>
        <v>0</v>
      </c>
      <c r="AO37" s="89">
        <f t="shared" si="69"/>
        <v>0</v>
      </c>
      <c r="AP37" s="89">
        <f t="shared" si="70"/>
        <v>18</v>
      </c>
      <c r="AQ37" s="89">
        <f t="shared" si="71"/>
        <v>0</v>
      </c>
      <c r="AR37" s="89">
        <f t="shared" si="72"/>
        <v>0</v>
      </c>
      <c r="AS37" s="89">
        <f t="shared" si="73"/>
        <v>18</v>
      </c>
      <c r="AT37" s="89">
        <f t="shared" si="74"/>
        <v>0</v>
      </c>
      <c r="AU37" s="89">
        <f t="shared" si="75"/>
        <v>0</v>
      </c>
      <c r="AV37" s="89">
        <f t="shared" si="76"/>
        <v>18</v>
      </c>
      <c r="AW37" s="89">
        <f t="shared" si="77"/>
        <v>0</v>
      </c>
      <c r="AX37" s="89">
        <f t="shared" si="78"/>
        <v>0</v>
      </c>
      <c r="AY37" s="89">
        <f t="shared" si="79"/>
        <v>0</v>
      </c>
      <c r="AZ37" s="52">
        <f t="shared" si="8"/>
        <v>0</v>
      </c>
      <c r="BA37" s="90">
        <f t="shared" si="9"/>
        <v>0</v>
      </c>
      <c r="BB37" s="91">
        <f t="shared" si="80"/>
        <v>25</v>
      </c>
      <c r="BC37" s="91">
        <f t="shared" si="10"/>
        <v>0</v>
      </c>
      <c r="BD37" s="91">
        <f t="shared" si="11"/>
        <v>0</v>
      </c>
      <c r="BE37" s="52">
        <f t="shared" si="12"/>
        <v>36</v>
      </c>
      <c r="BF37" s="52">
        <f t="shared" si="13"/>
        <v>0</v>
      </c>
      <c r="BG37" s="90">
        <f t="shared" si="14"/>
        <v>0</v>
      </c>
      <c r="BH37" s="52">
        <f t="shared" si="15"/>
        <v>36</v>
      </c>
      <c r="BI37" s="52">
        <f t="shared" si="16"/>
        <v>0</v>
      </c>
      <c r="BJ37" s="92">
        <f t="shared" si="17"/>
        <v>0</v>
      </c>
      <c r="BK37" s="91">
        <f t="shared" si="18"/>
        <v>36</v>
      </c>
      <c r="BL37" s="91">
        <f t="shared" si="19"/>
        <v>0</v>
      </c>
      <c r="BM37" s="93">
        <f t="shared" si="20"/>
        <v>0</v>
      </c>
      <c r="BN37" s="92">
        <f t="shared" si="81"/>
        <v>36</v>
      </c>
      <c r="BO37" s="92">
        <f t="shared" si="82"/>
        <v>0</v>
      </c>
      <c r="BP37" s="92">
        <f t="shared" si="83"/>
        <v>0</v>
      </c>
      <c r="BQ37" s="91">
        <f t="shared" si="21"/>
        <v>25</v>
      </c>
      <c r="BR37" s="91">
        <f t="shared" si="22"/>
        <v>0</v>
      </c>
      <c r="BS37" s="93">
        <f t="shared" si="23"/>
        <v>0</v>
      </c>
      <c r="BT37" s="91">
        <f t="shared" si="24"/>
        <v>36</v>
      </c>
      <c r="BU37" s="91">
        <f t="shared" si="25"/>
        <v>0</v>
      </c>
      <c r="BV37" s="94">
        <f t="shared" si="26"/>
        <v>0</v>
      </c>
      <c r="BW37" s="52">
        <f t="shared" si="27"/>
        <v>36</v>
      </c>
      <c r="BX37" s="52">
        <f t="shared" si="28"/>
        <v>0</v>
      </c>
      <c r="BY37" s="90">
        <f t="shared" si="29"/>
        <v>0</v>
      </c>
      <c r="BZ37" s="52">
        <f t="shared" si="30"/>
        <v>36</v>
      </c>
      <c r="CA37" s="52">
        <f t="shared" si="31"/>
        <v>0</v>
      </c>
      <c r="CB37" s="90">
        <f t="shared" si="32"/>
        <v>0</v>
      </c>
      <c r="CC37" s="52">
        <f t="shared" si="33"/>
        <v>36</v>
      </c>
      <c r="CD37" s="52">
        <f t="shared" si="34"/>
        <v>0</v>
      </c>
      <c r="CE37" s="90">
        <f t="shared" si="35"/>
        <v>0</v>
      </c>
      <c r="CF37" s="95">
        <f t="shared" si="36"/>
        <v>0</v>
      </c>
      <c r="CG37" s="97">
        <f t="shared" si="36"/>
        <v>1</v>
      </c>
      <c r="CH37" s="97">
        <f t="shared" si="36"/>
        <v>0</v>
      </c>
      <c r="CI37" s="97">
        <f t="shared" si="36"/>
        <v>1</v>
      </c>
      <c r="CJ37" s="97">
        <f t="shared" si="36"/>
        <v>1</v>
      </c>
      <c r="CK37" s="96">
        <f t="shared" si="37"/>
        <v>5</v>
      </c>
      <c r="CL37" s="96">
        <f t="shared" si="37"/>
        <v>0</v>
      </c>
      <c r="CM37" s="96">
        <f t="shared" si="37"/>
        <v>5</v>
      </c>
      <c r="CN37" s="96">
        <f t="shared" si="37"/>
        <v>0</v>
      </c>
      <c r="CO37" s="96">
        <f t="shared" si="37"/>
        <v>0</v>
      </c>
      <c r="CP37" s="96">
        <f t="shared" si="38"/>
        <v>6</v>
      </c>
      <c r="CQ37" s="96">
        <f t="shared" si="38"/>
        <v>0</v>
      </c>
      <c r="CR37" s="96">
        <f t="shared" si="38"/>
        <v>6</v>
      </c>
      <c r="CS37" s="96">
        <f t="shared" si="38"/>
        <v>0</v>
      </c>
      <c r="CT37" s="96">
        <f t="shared" si="38"/>
        <v>0</v>
      </c>
      <c r="CU37" s="96">
        <f t="shared" si="39"/>
        <v>6</v>
      </c>
      <c r="CV37" s="96">
        <f t="shared" si="39"/>
        <v>0</v>
      </c>
      <c r="CW37" s="96">
        <f t="shared" si="39"/>
        <v>6</v>
      </c>
      <c r="CX37" s="96">
        <f t="shared" si="39"/>
        <v>0</v>
      </c>
      <c r="CY37" s="96">
        <f t="shared" si="39"/>
        <v>0</v>
      </c>
      <c r="CZ37" s="96">
        <f t="shared" si="40"/>
        <v>6</v>
      </c>
      <c r="DA37" s="96">
        <f t="shared" si="40"/>
        <v>0</v>
      </c>
      <c r="DB37" s="96">
        <f t="shared" si="40"/>
        <v>6</v>
      </c>
      <c r="DC37" s="96">
        <f t="shared" si="40"/>
        <v>0</v>
      </c>
      <c r="DD37" s="96">
        <f t="shared" si="40"/>
        <v>0</v>
      </c>
      <c r="DE37" s="96">
        <f t="shared" si="84"/>
        <v>6</v>
      </c>
      <c r="DF37" s="96">
        <f t="shared" si="84"/>
        <v>0</v>
      </c>
      <c r="DG37" s="96">
        <f t="shared" si="84"/>
        <v>6</v>
      </c>
      <c r="DH37" s="96">
        <f t="shared" si="84"/>
        <v>0</v>
      </c>
      <c r="DI37" s="96">
        <f t="shared" si="84"/>
        <v>0</v>
      </c>
      <c r="DJ37" s="96">
        <f t="shared" si="41"/>
        <v>5</v>
      </c>
      <c r="DK37" s="96">
        <f t="shared" si="41"/>
        <v>0</v>
      </c>
      <c r="DL37" s="96">
        <f t="shared" si="41"/>
        <v>5</v>
      </c>
      <c r="DM37" s="96">
        <f t="shared" si="41"/>
        <v>0</v>
      </c>
      <c r="DN37" s="96">
        <f t="shared" si="41"/>
        <v>0</v>
      </c>
      <c r="DO37" s="96">
        <f t="shared" si="42"/>
        <v>6</v>
      </c>
      <c r="DP37" s="96">
        <f t="shared" si="42"/>
        <v>0</v>
      </c>
      <c r="DQ37" s="96">
        <f t="shared" si="42"/>
        <v>6</v>
      </c>
      <c r="DR37" s="96">
        <f t="shared" si="42"/>
        <v>0</v>
      </c>
      <c r="DS37" s="96">
        <f t="shared" si="42"/>
        <v>0</v>
      </c>
      <c r="DT37" s="96">
        <f t="shared" si="43"/>
        <v>6</v>
      </c>
      <c r="DU37" s="96">
        <f t="shared" si="43"/>
        <v>0</v>
      </c>
      <c r="DV37" s="96">
        <f t="shared" si="43"/>
        <v>6</v>
      </c>
      <c r="DW37" s="96">
        <f t="shared" si="43"/>
        <v>0</v>
      </c>
      <c r="DX37" s="96">
        <f t="shared" si="43"/>
        <v>0</v>
      </c>
      <c r="DY37" s="97">
        <f t="shared" si="44"/>
        <v>6</v>
      </c>
      <c r="DZ37" s="97">
        <f t="shared" si="44"/>
        <v>0</v>
      </c>
      <c r="EA37" s="97">
        <f t="shared" si="44"/>
        <v>6</v>
      </c>
      <c r="EB37" s="97">
        <f t="shared" si="44"/>
        <v>0</v>
      </c>
      <c r="EC37" s="97">
        <f t="shared" si="44"/>
        <v>0</v>
      </c>
      <c r="ED37" s="96">
        <f t="shared" si="45"/>
        <v>6</v>
      </c>
      <c r="EE37" s="96">
        <f t="shared" si="45"/>
        <v>0</v>
      </c>
      <c r="EF37" s="96">
        <f t="shared" si="45"/>
        <v>6</v>
      </c>
      <c r="EG37" s="96">
        <f t="shared" si="45"/>
        <v>0</v>
      </c>
      <c r="EH37" s="96">
        <f t="shared" si="45"/>
        <v>0</v>
      </c>
      <c r="EI37" s="96">
        <f t="shared" si="46"/>
        <v>1</v>
      </c>
      <c r="EJ37" s="96">
        <f t="shared" si="46"/>
        <v>0</v>
      </c>
      <c r="EK37" s="96">
        <f t="shared" si="46"/>
        <v>1</v>
      </c>
      <c r="EL37" s="96">
        <f t="shared" si="46"/>
        <v>0</v>
      </c>
      <c r="EM37" s="115">
        <f t="shared" si="46"/>
        <v>0</v>
      </c>
      <c r="EN37" s="98">
        <f t="shared" si="85"/>
        <v>60</v>
      </c>
      <c r="EO37" s="98">
        <f t="shared" si="85"/>
        <v>1</v>
      </c>
      <c r="EP37" s="98">
        <f t="shared" si="85"/>
        <v>60</v>
      </c>
      <c r="EQ37" s="98">
        <f t="shared" si="85"/>
        <v>1</v>
      </c>
      <c r="ER37" s="98">
        <f t="shared" si="85"/>
        <v>1</v>
      </c>
    </row>
    <row r="38" spans="1:148" ht="17" thickBot="1" x14ac:dyDescent="0.25">
      <c r="A38" s="102" t="str">
        <f>TEXT('[1]Pay Table'!B14,"??")</f>
        <v>10</v>
      </c>
      <c r="B38" s="103">
        <v>0.5</v>
      </c>
      <c r="C38" s="103">
        <v>0.2</v>
      </c>
      <c r="D38" s="103">
        <v>0.1</v>
      </c>
      <c r="E38" s="104">
        <f>'[1]Pay Table'!F14</f>
        <v>0</v>
      </c>
      <c r="I38" s="88">
        <f t="shared" si="86"/>
        <v>12</v>
      </c>
      <c r="J38" s="27">
        <v>0</v>
      </c>
      <c r="K38">
        <v>1</v>
      </c>
      <c r="L38">
        <v>1</v>
      </c>
      <c r="M38">
        <v>0</v>
      </c>
      <c r="N38">
        <v>0</v>
      </c>
      <c r="O38">
        <f t="shared" si="3"/>
        <v>5.3489904835390938E-3</v>
      </c>
      <c r="P38" s="74">
        <f t="shared" si="47"/>
        <v>2</v>
      </c>
      <c r="Q38" s="114">
        <f t="shared" si="48"/>
        <v>0.91425092592592572</v>
      </c>
      <c r="R38" s="89">
        <f t="shared" si="4"/>
        <v>0</v>
      </c>
      <c r="S38" s="52">
        <f t="shared" si="5"/>
        <v>0</v>
      </c>
      <c r="T38" s="90">
        <f t="shared" si="6"/>
        <v>0</v>
      </c>
      <c r="U38" s="89">
        <f t="shared" si="49"/>
        <v>2500</v>
      </c>
      <c r="V38" s="89">
        <f t="shared" si="50"/>
        <v>13750</v>
      </c>
      <c r="W38" s="89">
        <f t="shared" si="51"/>
        <v>82500</v>
      </c>
      <c r="X38" s="89">
        <f t="shared" si="52"/>
        <v>1080</v>
      </c>
      <c r="Y38" s="89">
        <f t="shared" si="53"/>
        <v>5832</v>
      </c>
      <c r="Z38" s="89">
        <f t="shared" si="54"/>
        <v>38880</v>
      </c>
      <c r="AA38" s="89">
        <f t="shared" si="55"/>
        <v>648</v>
      </c>
      <c r="AB38" s="89">
        <f t="shared" si="56"/>
        <v>3888</v>
      </c>
      <c r="AC38" s="89">
        <f t="shared" si="57"/>
        <v>19440</v>
      </c>
      <c r="AD38" s="89">
        <f t="shared" si="58"/>
        <v>432</v>
      </c>
      <c r="AE38" s="89">
        <f t="shared" si="59"/>
        <v>1944</v>
      </c>
      <c r="AF38" s="89">
        <f t="shared" si="60"/>
        <v>9720</v>
      </c>
      <c r="AG38" s="89">
        <f t="shared" si="61"/>
        <v>216</v>
      </c>
      <c r="AH38" s="89">
        <f t="shared" si="62"/>
        <v>972</v>
      </c>
      <c r="AI38" s="89">
        <f t="shared" si="63"/>
        <v>3888</v>
      </c>
      <c r="AJ38" s="89">
        <f t="shared" si="64"/>
        <v>75</v>
      </c>
      <c r="AK38" s="89">
        <f t="shared" si="65"/>
        <v>330</v>
      </c>
      <c r="AL38" s="89">
        <f t="shared" si="66"/>
        <v>1620</v>
      </c>
      <c r="AM38" s="89">
        <f t="shared" si="67"/>
        <v>108</v>
      </c>
      <c r="AN38" s="89">
        <f t="shared" si="68"/>
        <v>388.8</v>
      </c>
      <c r="AO38" s="89">
        <f t="shared" si="69"/>
        <v>1944</v>
      </c>
      <c r="AP38" s="89">
        <f t="shared" si="70"/>
        <v>108</v>
      </c>
      <c r="AQ38" s="89">
        <f t="shared" si="71"/>
        <v>388.8</v>
      </c>
      <c r="AR38" s="89">
        <f t="shared" si="72"/>
        <v>1944</v>
      </c>
      <c r="AS38" s="89">
        <f t="shared" si="73"/>
        <v>108</v>
      </c>
      <c r="AT38" s="89">
        <f t="shared" si="74"/>
        <v>388.8</v>
      </c>
      <c r="AU38" s="89">
        <f t="shared" si="75"/>
        <v>1944</v>
      </c>
      <c r="AV38" s="89">
        <f t="shared" si="76"/>
        <v>108</v>
      </c>
      <c r="AW38" s="89">
        <f t="shared" si="77"/>
        <v>388.8</v>
      </c>
      <c r="AX38" s="89">
        <f t="shared" si="78"/>
        <v>1944</v>
      </c>
      <c r="AY38" s="89">
        <f t="shared" si="79"/>
        <v>0</v>
      </c>
      <c r="AZ38" s="52">
        <f t="shared" si="8"/>
        <v>0</v>
      </c>
      <c r="BA38" s="90">
        <f t="shared" si="9"/>
        <v>0</v>
      </c>
      <c r="BB38" s="91">
        <f t="shared" si="80"/>
        <v>125</v>
      </c>
      <c r="BC38" s="91">
        <f t="shared" si="10"/>
        <v>1375</v>
      </c>
      <c r="BD38" s="91">
        <f t="shared" si="11"/>
        <v>16500</v>
      </c>
      <c r="BE38" s="52">
        <f t="shared" si="12"/>
        <v>216</v>
      </c>
      <c r="BF38" s="52">
        <f t="shared" si="13"/>
        <v>1944</v>
      </c>
      <c r="BG38" s="90">
        <f t="shared" si="14"/>
        <v>19440</v>
      </c>
      <c r="BH38" s="52">
        <f t="shared" si="15"/>
        <v>216</v>
      </c>
      <c r="BI38" s="52">
        <f t="shared" si="16"/>
        <v>1944</v>
      </c>
      <c r="BJ38" s="92">
        <f t="shared" si="17"/>
        <v>19440</v>
      </c>
      <c r="BK38" s="91">
        <f t="shared" si="18"/>
        <v>216</v>
      </c>
      <c r="BL38" s="91">
        <f t="shared" si="19"/>
        <v>1944</v>
      </c>
      <c r="BM38" s="93">
        <f t="shared" si="20"/>
        <v>19440</v>
      </c>
      <c r="BN38" s="92">
        <f t="shared" si="81"/>
        <v>216</v>
      </c>
      <c r="BO38" s="92">
        <f t="shared" si="82"/>
        <v>1944</v>
      </c>
      <c r="BP38" s="92">
        <f t="shared" si="83"/>
        <v>19440</v>
      </c>
      <c r="BQ38" s="91">
        <f t="shared" si="21"/>
        <v>150</v>
      </c>
      <c r="BR38" s="91">
        <f t="shared" si="22"/>
        <v>1650</v>
      </c>
      <c r="BS38" s="93">
        <f t="shared" si="23"/>
        <v>16200</v>
      </c>
      <c r="BT38" s="91">
        <f t="shared" si="24"/>
        <v>216</v>
      </c>
      <c r="BU38" s="91">
        <f t="shared" si="25"/>
        <v>1944</v>
      </c>
      <c r="BV38" s="94">
        <f t="shared" si="26"/>
        <v>19440</v>
      </c>
      <c r="BW38" s="52">
        <f t="shared" si="27"/>
        <v>216</v>
      </c>
      <c r="BX38" s="52">
        <f t="shared" si="28"/>
        <v>1944</v>
      </c>
      <c r="BY38" s="90">
        <f t="shared" si="29"/>
        <v>19440</v>
      </c>
      <c r="BZ38" s="52">
        <f t="shared" si="30"/>
        <v>216</v>
      </c>
      <c r="CA38" s="52">
        <f t="shared" si="31"/>
        <v>1944</v>
      </c>
      <c r="CB38" s="90">
        <f t="shared" si="32"/>
        <v>19440</v>
      </c>
      <c r="CC38" s="52">
        <f t="shared" si="33"/>
        <v>216</v>
      </c>
      <c r="CD38" s="52">
        <f t="shared" si="34"/>
        <v>1944</v>
      </c>
      <c r="CE38" s="90">
        <f t="shared" si="35"/>
        <v>19440</v>
      </c>
      <c r="CF38" s="95">
        <f t="shared" si="36"/>
        <v>0</v>
      </c>
      <c r="CG38" s="97">
        <f t="shared" si="36"/>
        <v>1</v>
      </c>
      <c r="CH38" s="97">
        <f t="shared" si="36"/>
        <v>1</v>
      </c>
      <c r="CI38" s="97">
        <f t="shared" si="36"/>
        <v>0</v>
      </c>
      <c r="CJ38" s="97">
        <f t="shared" si="36"/>
        <v>0</v>
      </c>
      <c r="CK38" s="96">
        <f t="shared" si="37"/>
        <v>5</v>
      </c>
      <c r="CL38" s="96">
        <f t="shared" si="37"/>
        <v>0</v>
      </c>
      <c r="CM38" s="96">
        <f t="shared" si="37"/>
        <v>0</v>
      </c>
      <c r="CN38" s="96">
        <f t="shared" si="37"/>
        <v>5</v>
      </c>
      <c r="CO38" s="96">
        <f t="shared" si="37"/>
        <v>5</v>
      </c>
      <c r="CP38" s="96">
        <f t="shared" si="38"/>
        <v>6</v>
      </c>
      <c r="CQ38" s="96">
        <f t="shared" si="38"/>
        <v>0</v>
      </c>
      <c r="CR38" s="96">
        <f t="shared" si="38"/>
        <v>0</v>
      </c>
      <c r="CS38" s="96">
        <f t="shared" si="38"/>
        <v>6</v>
      </c>
      <c r="CT38" s="96">
        <f t="shared" si="38"/>
        <v>6</v>
      </c>
      <c r="CU38" s="96">
        <f t="shared" si="39"/>
        <v>6</v>
      </c>
      <c r="CV38" s="96">
        <f t="shared" si="39"/>
        <v>0</v>
      </c>
      <c r="CW38" s="96">
        <f t="shared" si="39"/>
        <v>0</v>
      </c>
      <c r="CX38" s="96">
        <f t="shared" si="39"/>
        <v>6</v>
      </c>
      <c r="CY38" s="96">
        <f t="shared" si="39"/>
        <v>6</v>
      </c>
      <c r="CZ38" s="96">
        <f t="shared" si="40"/>
        <v>6</v>
      </c>
      <c r="DA38" s="96">
        <f t="shared" si="40"/>
        <v>0</v>
      </c>
      <c r="DB38" s="96">
        <f t="shared" si="40"/>
        <v>0</v>
      </c>
      <c r="DC38" s="96">
        <f t="shared" si="40"/>
        <v>6</v>
      </c>
      <c r="DD38" s="96">
        <f t="shared" si="40"/>
        <v>6</v>
      </c>
      <c r="DE38" s="96">
        <f t="shared" si="84"/>
        <v>6</v>
      </c>
      <c r="DF38" s="96">
        <f t="shared" si="84"/>
        <v>0</v>
      </c>
      <c r="DG38" s="96">
        <f t="shared" si="84"/>
        <v>0</v>
      </c>
      <c r="DH38" s="96">
        <f t="shared" si="84"/>
        <v>6</v>
      </c>
      <c r="DI38" s="96">
        <f t="shared" si="84"/>
        <v>6</v>
      </c>
      <c r="DJ38" s="96">
        <f t="shared" si="41"/>
        <v>5</v>
      </c>
      <c r="DK38" s="96">
        <f t="shared" si="41"/>
        <v>0</v>
      </c>
      <c r="DL38" s="96">
        <f t="shared" si="41"/>
        <v>0</v>
      </c>
      <c r="DM38" s="96">
        <f t="shared" si="41"/>
        <v>6</v>
      </c>
      <c r="DN38" s="96">
        <f t="shared" si="41"/>
        <v>5</v>
      </c>
      <c r="DO38" s="96">
        <f t="shared" si="42"/>
        <v>6</v>
      </c>
      <c r="DP38" s="96">
        <f t="shared" si="42"/>
        <v>0</v>
      </c>
      <c r="DQ38" s="96">
        <f t="shared" si="42"/>
        <v>0</v>
      </c>
      <c r="DR38" s="96">
        <f t="shared" si="42"/>
        <v>6</v>
      </c>
      <c r="DS38" s="96">
        <f t="shared" si="42"/>
        <v>6</v>
      </c>
      <c r="DT38" s="96">
        <f t="shared" si="43"/>
        <v>6</v>
      </c>
      <c r="DU38" s="96">
        <f t="shared" si="43"/>
        <v>0</v>
      </c>
      <c r="DV38" s="96">
        <f t="shared" si="43"/>
        <v>0</v>
      </c>
      <c r="DW38" s="96">
        <f t="shared" si="43"/>
        <v>6</v>
      </c>
      <c r="DX38" s="96">
        <f t="shared" si="43"/>
        <v>6</v>
      </c>
      <c r="DY38" s="97">
        <f t="shared" si="44"/>
        <v>6</v>
      </c>
      <c r="DZ38" s="97">
        <f t="shared" si="44"/>
        <v>0</v>
      </c>
      <c r="EA38" s="97">
        <f t="shared" si="44"/>
        <v>0</v>
      </c>
      <c r="EB38" s="97">
        <f t="shared" si="44"/>
        <v>6</v>
      </c>
      <c r="EC38" s="97">
        <f t="shared" si="44"/>
        <v>6</v>
      </c>
      <c r="ED38" s="96">
        <f t="shared" si="45"/>
        <v>6</v>
      </c>
      <c r="EE38" s="96">
        <f t="shared" si="45"/>
        <v>0</v>
      </c>
      <c r="EF38" s="96">
        <f t="shared" si="45"/>
        <v>0</v>
      </c>
      <c r="EG38" s="96">
        <f t="shared" si="45"/>
        <v>6</v>
      </c>
      <c r="EH38" s="96">
        <f t="shared" si="45"/>
        <v>6</v>
      </c>
      <c r="EI38" s="96">
        <f t="shared" si="46"/>
        <v>1</v>
      </c>
      <c r="EJ38" s="96">
        <f t="shared" si="46"/>
        <v>0</v>
      </c>
      <c r="EK38" s="96">
        <f t="shared" si="46"/>
        <v>0</v>
      </c>
      <c r="EL38" s="96">
        <f t="shared" si="46"/>
        <v>0</v>
      </c>
      <c r="EM38" s="115">
        <f t="shared" si="46"/>
        <v>1</v>
      </c>
      <c r="EN38" s="98">
        <f t="shared" si="85"/>
        <v>60</v>
      </c>
      <c r="EO38" s="98">
        <f t="shared" si="85"/>
        <v>1</v>
      </c>
      <c r="EP38" s="98">
        <f t="shared" si="85"/>
        <v>1</v>
      </c>
      <c r="EQ38" s="98">
        <f t="shared" si="85"/>
        <v>60</v>
      </c>
      <c r="ER38" s="98">
        <f t="shared" si="85"/>
        <v>60</v>
      </c>
    </row>
    <row r="39" spans="1:148" ht="17" thickBot="1" x14ac:dyDescent="0.25">
      <c r="A39" s="5"/>
      <c r="B39" s="5"/>
      <c r="I39" s="88">
        <f t="shared" si="86"/>
        <v>13</v>
      </c>
      <c r="J39" s="27">
        <v>0</v>
      </c>
      <c r="K39">
        <v>1</v>
      </c>
      <c r="L39">
        <v>1</v>
      </c>
      <c r="M39">
        <v>0</v>
      </c>
      <c r="N39">
        <v>1</v>
      </c>
      <c r="O39">
        <f t="shared" si="3"/>
        <v>4.862718621399176E-4</v>
      </c>
      <c r="P39" s="74">
        <f t="shared" si="47"/>
        <v>3</v>
      </c>
      <c r="Q39" s="114">
        <f t="shared" si="48"/>
        <v>1.0315000000000001</v>
      </c>
      <c r="R39" s="89">
        <f t="shared" si="4"/>
        <v>0</v>
      </c>
      <c r="S39" s="52">
        <f t="shared" si="5"/>
        <v>0</v>
      </c>
      <c r="T39" s="90">
        <f t="shared" si="6"/>
        <v>0</v>
      </c>
      <c r="U39" s="89">
        <f t="shared" si="49"/>
        <v>500</v>
      </c>
      <c r="V39" s="89">
        <f t="shared" si="50"/>
        <v>0</v>
      </c>
      <c r="W39" s="89">
        <f t="shared" si="51"/>
        <v>1375</v>
      </c>
      <c r="X39" s="89">
        <f t="shared" si="52"/>
        <v>180</v>
      </c>
      <c r="Y39" s="89">
        <f t="shared" si="53"/>
        <v>0</v>
      </c>
      <c r="Z39" s="89">
        <f t="shared" si="54"/>
        <v>648</v>
      </c>
      <c r="AA39" s="89">
        <f t="shared" si="55"/>
        <v>108</v>
      </c>
      <c r="AB39" s="89">
        <f t="shared" si="56"/>
        <v>0</v>
      </c>
      <c r="AC39" s="89">
        <f t="shared" si="57"/>
        <v>324</v>
      </c>
      <c r="AD39" s="89">
        <f t="shared" si="58"/>
        <v>72</v>
      </c>
      <c r="AE39" s="89">
        <f t="shared" si="59"/>
        <v>0</v>
      </c>
      <c r="AF39" s="89">
        <f t="shared" si="60"/>
        <v>162</v>
      </c>
      <c r="AG39" s="89">
        <f t="shared" si="61"/>
        <v>36</v>
      </c>
      <c r="AH39" s="89">
        <f t="shared" si="62"/>
        <v>0</v>
      </c>
      <c r="AI39" s="89">
        <f t="shared" si="63"/>
        <v>64.8</v>
      </c>
      <c r="AJ39" s="89">
        <f t="shared" si="64"/>
        <v>15</v>
      </c>
      <c r="AK39" s="89">
        <f t="shared" si="65"/>
        <v>0</v>
      </c>
      <c r="AL39" s="89">
        <f t="shared" si="66"/>
        <v>27</v>
      </c>
      <c r="AM39" s="89">
        <f t="shared" si="67"/>
        <v>18</v>
      </c>
      <c r="AN39" s="89">
        <f t="shared" si="68"/>
        <v>0</v>
      </c>
      <c r="AO39" s="89">
        <f t="shared" si="69"/>
        <v>32.4</v>
      </c>
      <c r="AP39" s="89">
        <f t="shared" si="70"/>
        <v>18</v>
      </c>
      <c r="AQ39" s="89">
        <f t="shared" si="71"/>
        <v>0</v>
      </c>
      <c r="AR39" s="89">
        <f t="shared" si="72"/>
        <v>32.4</v>
      </c>
      <c r="AS39" s="89">
        <f t="shared" si="73"/>
        <v>18</v>
      </c>
      <c r="AT39" s="89">
        <f t="shared" si="74"/>
        <v>0</v>
      </c>
      <c r="AU39" s="89">
        <f t="shared" si="75"/>
        <v>32.4</v>
      </c>
      <c r="AV39" s="89">
        <f t="shared" si="76"/>
        <v>18</v>
      </c>
      <c r="AW39" s="89">
        <f t="shared" si="77"/>
        <v>0</v>
      </c>
      <c r="AX39" s="89">
        <f t="shared" si="78"/>
        <v>32.4</v>
      </c>
      <c r="AY39" s="89">
        <f t="shared" si="79"/>
        <v>0</v>
      </c>
      <c r="AZ39" s="52">
        <f t="shared" si="8"/>
        <v>0</v>
      </c>
      <c r="BA39" s="90">
        <f t="shared" si="9"/>
        <v>0</v>
      </c>
      <c r="BB39" s="91">
        <f t="shared" si="80"/>
        <v>25</v>
      </c>
      <c r="BC39" s="91">
        <f t="shared" si="10"/>
        <v>0</v>
      </c>
      <c r="BD39" s="91">
        <f t="shared" si="11"/>
        <v>275</v>
      </c>
      <c r="BE39" s="52">
        <f t="shared" si="12"/>
        <v>36</v>
      </c>
      <c r="BF39" s="52">
        <f t="shared" si="13"/>
        <v>0</v>
      </c>
      <c r="BG39" s="90">
        <f t="shared" si="14"/>
        <v>324</v>
      </c>
      <c r="BH39" s="52">
        <f t="shared" si="15"/>
        <v>36</v>
      </c>
      <c r="BI39" s="52">
        <f t="shared" si="16"/>
        <v>0</v>
      </c>
      <c r="BJ39" s="92">
        <f t="shared" si="17"/>
        <v>324</v>
      </c>
      <c r="BK39" s="91">
        <f t="shared" si="18"/>
        <v>36</v>
      </c>
      <c r="BL39" s="91">
        <f t="shared" si="19"/>
        <v>0</v>
      </c>
      <c r="BM39" s="93">
        <f t="shared" si="20"/>
        <v>324</v>
      </c>
      <c r="BN39" s="92">
        <f t="shared" si="81"/>
        <v>36</v>
      </c>
      <c r="BO39" s="92">
        <f t="shared" si="82"/>
        <v>0</v>
      </c>
      <c r="BP39" s="92">
        <f t="shared" si="83"/>
        <v>324</v>
      </c>
      <c r="BQ39" s="91">
        <f t="shared" si="21"/>
        <v>30</v>
      </c>
      <c r="BR39" s="91">
        <f t="shared" si="22"/>
        <v>0</v>
      </c>
      <c r="BS39" s="93">
        <f t="shared" si="23"/>
        <v>270</v>
      </c>
      <c r="BT39" s="91">
        <f t="shared" si="24"/>
        <v>36</v>
      </c>
      <c r="BU39" s="91">
        <f t="shared" si="25"/>
        <v>0</v>
      </c>
      <c r="BV39" s="94">
        <f t="shared" si="26"/>
        <v>324</v>
      </c>
      <c r="BW39" s="52">
        <f t="shared" si="27"/>
        <v>36</v>
      </c>
      <c r="BX39" s="52">
        <f t="shared" si="28"/>
        <v>0</v>
      </c>
      <c r="BY39" s="90">
        <f t="shared" si="29"/>
        <v>324</v>
      </c>
      <c r="BZ39" s="52">
        <f t="shared" si="30"/>
        <v>36</v>
      </c>
      <c r="CA39" s="52">
        <f t="shared" si="31"/>
        <v>0</v>
      </c>
      <c r="CB39" s="90">
        <f t="shared" si="32"/>
        <v>324</v>
      </c>
      <c r="CC39" s="52">
        <f t="shared" si="33"/>
        <v>36</v>
      </c>
      <c r="CD39" s="52">
        <f t="shared" si="34"/>
        <v>0</v>
      </c>
      <c r="CE39" s="90">
        <f t="shared" si="35"/>
        <v>324</v>
      </c>
      <c r="CF39" s="95">
        <f t="shared" si="36"/>
        <v>0</v>
      </c>
      <c r="CG39" s="97">
        <f t="shared" si="36"/>
        <v>1</v>
      </c>
      <c r="CH39" s="97">
        <f t="shared" si="36"/>
        <v>1</v>
      </c>
      <c r="CI39" s="97">
        <f t="shared" si="36"/>
        <v>0</v>
      </c>
      <c r="CJ39" s="97">
        <f t="shared" si="36"/>
        <v>1</v>
      </c>
      <c r="CK39" s="96">
        <f t="shared" si="37"/>
        <v>5</v>
      </c>
      <c r="CL39" s="96">
        <f t="shared" si="37"/>
        <v>0</v>
      </c>
      <c r="CM39" s="96">
        <f t="shared" si="37"/>
        <v>0</v>
      </c>
      <c r="CN39" s="96">
        <f t="shared" si="37"/>
        <v>5</v>
      </c>
      <c r="CO39" s="96">
        <f t="shared" si="37"/>
        <v>0</v>
      </c>
      <c r="CP39" s="96">
        <f t="shared" si="38"/>
        <v>6</v>
      </c>
      <c r="CQ39" s="96">
        <f t="shared" si="38"/>
        <v>0</v>
      </c>
      <c r="CR39" s="96">
        <f t="shared" si="38"/>
        <v>0</v>
      </c>
      <c r="CS39" s="96">
        <f t="shared" si="38"/>
        <v>6</v>
      </c>
      <c r="CT39" s="96">
        <f t="shared" si="38"/>
        <v>0</v>
      </c>
      <c r="CU39" s="96">
        <f t="shared" si="39"/>
        <v>6</v>
      </c>
      <c r="CV39" s="96">
        <f t="shared" si="39"/>
        <v>0</v>
      </c>
      <c r="CW39" s="96">
        <f t="shared" si="39"/>
        <v>0</v>
      </c>
      <c r="CX39" s="96">
        <f t="shared" si="39"/>
        <v>6</v>
      </c>
      <c r="CY39" s="96">
        <f t="shared" si="39"/>
        <v>0</v>
      </c>
      <c r="CZ39" s="96">
        <f t="shared" si="40"/>
        <v>6</v>
      </c>
      <c r="DA39" s="96">
        <f t="shared" si="40"/>
        <v>0</v>
      </c>
      <c r="DB39" s="96">
        <f t="shared" si="40"/>
        <v>0</v>
      </c>
      <c r="DC39" s="96">
        <f t="shared" si="40"/>
        <v>6</v>
      </c>
      <c r="DD39" s="96">
        <f t="shared" si="40"/>
        <v>0</v>
      </c>
      <c r="DE39" s="96">
        <f t="shared" si="84"/>
        <v>6</v>
      </c>
      <c r="DF39" s="96">
        <f t="shared" si="84"/>
        <v>0</v>
      </c>
      <c r="DG39" s="96">
        <f t="shared" si="84"/>
        <v>0</v>
      </c>
      <c r="DH39" s="96">
        <f t="shared" si="84"/>
        <v>6</v>
      </c>
      <c r="DI39" s="96">
        <f t="shared" si="84"/>
        <v>0</v>
      </c>
      <c r="DJ39" s="96">
        <f t="shared" si="41"/>
        <v>5</v>
      </c>
      <c r="DK39" s="96">
        <f t="shared" si="41"/>
        <v>0</v>
      </c>
      <c r="DL39" s="96">
        <f t="shared" si="41"/>
        <v>0</v>
      </c>
      <c r="DM39" s="96">
        <f t="shared" si="41"/>
        <v>6</v>
      </c>
      <c r="DN39" s="96">
        <f t="shared" si="41"/>
        <v>0</v>
      </c>
      <c r="DO39" s="96">
        <f t="shared" si="42"/>
        <v>6</v>
      </c>
      <c r="DP39" s="96">
        <f t="shared" si="42"/>
        <v>0</v>
      </c>
      <c r="DQ39" s="96">
        <f t="shared" si="42"/>
        <v>0</v>
      </c>
      <c r="DR39" s="96">
        <f t="shared" si="42"/>
        <v>6</v>
      </c>
      <c r="DS39" s="96">
        <f t="shared" si="42"/>
        <v>0</v>
      </c>
      <c r="DT39" s="96">
        <f t="shared" si="43"/>
        <v>6</v>
      </c>
      <c r="DU39" s="96">
        <f t="shared" si="43"/>
        <v>0</v>
      </c>
      <c r="DV39" s="96">
        <f t="shared" si="43"/>
        <v>0</v>
      </c>
      <c r="DW39" s="96">
        <f t="shared" si="43"/>
        <v>6</v>
      </c>
      <c r="DX39" s="96">
        <f t="shared" si="43"/>
        <v>0</v>
      </c>
      <c r="DY39" s="97">
        <f t="shared" si="44"/>
        <v>6</v>
      </c>
      <c r="DZ39" s="97">
        <f t="shared" si="44"/>
        <v>0</v>
      </c>
      <c r="EA39" s="97">
        <f t="shared" si="44"/>
        <v>0</v>
      </c>
      <c r="EB39" s="97">
        <f t="shared" si="44"/>
        <v>6</v>
      </c>
      <c r="EC39" s="97">
        <f t="shared" si="44"/>
        <v>0</v>
      </c>
      <c r="ED39" s="96">
        <f t="shared" si="45"/>
        <v>6</v>
      </c>
      <c r="EE39" s="96">
        <f t="shared" si="45"/>
        <v>0</v>
      </c>
      <c r="EF39" s="96">
        <f t="shared" si="45"/>
        <v>0</v>
      </c>
      <c r="EG39" s="96">
        <f t="shared" si="45"/>
        <v>6</v>
      </c>
      <c r="EH39" s="96">
        <f t="shared" si="45"/>
        <v>0</v>
      </c>
      <c r="EI39" s="96">
        <f t="shared" si="46"/>
        <v>1</v>
      </c>
      <c r="EJ39" s="96">
        <f t="shared" si="46"/>
        <v>0</v>
      </c>
      <c r="EK39" s="96">
        <f t="shared" si="46"/>
        <v>0</v>
      </c>
      <c r="EL39" s="96">
        <f t="shared" si="46"/>
        <v>0</v>
      </c>
      <c r="EM39" s="115">
        <f t="shared" si="46"/>
        <v>0</v>
      </c>
      <c r="EN39" s="98">
        <f t="shared" si="85"/>
        <v>60</v>
      </c>
      <c r="EO39" s="98">
        <f t="shared" si="85"/>
        <v>1</v>
      </c>
      <c r="EP39" s="98">
        <f t="shared" si="85"/>
        <v>1</v>
      </c>
      <c r="EQ39" s="98">
        <f t="shared" si="85"/>
        <v>60</v>
      </c>
      <c r="ER39" s="98">
        <f t="shared" si="85"/>
        <v>1</v>
      </c>
    </row>
    <row r="40" spans="1:148" ht="17" thickBot="1" x14ac:dyDescent="0.25">
      <c r="A40" s="230" t="s">
        <v>81</v>
      </c>
      <c r="B40" s="231"/>
      <c r="C40" s="231"/>
      <c r="D40" s="231"/>
      <c r="E40" s="231"/>
      <c r="F40" s="232"/>
      <c r="G40" s="5"/>
      <c r="I40" s="88">
        <f t="shared" si="86"/>
        <v>14</v>
      </c>
      <c r="J40" s="27">
        <v>0</v>
      </c>
      <c r="K40">
        <v>1</v>
      </c>
      <c r="L40">
        <v>1</v>
      </c>
      <c r="M40">
        <v>1</v>
      </c>
      <c r="N40">
        <v>0</v>
      </c>
      <c r="O40">
        <f t="shared" si="3"/>
        <v>4.8627186213991754E-4</v>
      </c>
      <c r="P40" s="74">
        <f t="shared" si="47"/>
        <v>3</v>
      </c>
      <c r="Q40" s="114">
        <f t="shared" si="48"/>
        <v>1.7085277777777781</v>
      </c>
      <c r="R40" s="89">
        <f t="shared" si="4"/>
        <v>0</v>
      </c>
      <c r="S40" s="52">
        <f t="shared" si="5"/>
        <v>0</v>
      </c>
      <c r="T40" s="90">
        <f t="shared" si="6"/>
        <v>0</v>
      </c>
      <c r="U40" s="89">
        <f t="shared" si="49"/>
        <v>500</v>
      </c>
      <c r="V40" s="89">
        <f t="shared" si="50"/>
        <v>2750</v>
      </c>
      <c r="W40" s="89">
        <f t="shared" si="51"/>
        <v>0</v>
      </c>
      <c r="X40" s="89">
        <f t="shared" si="52"/>
        <v>180</v>
      </c>
      <c r="Y40" s="89">
        <f t="shared" si="53"/>
        <v>972</v>
      </c>
      <c r="Z40" s="89">
        <f t="shared" si="54"/>
        <v>0</v>
      </c>
      <c r="AA40" s="89">
        <f t="shared" si="55"/>
        <v>108</v>
      </c>
      <c r="AB40" s="89">
        <f t="shared" si="56"/>
        <v>648</v>
      </c>
      <c r="AC40" s="89">
        <f t="shared" si="57"/>
        <v>0</v>
      </c>
      <c r="AD40" s="89">
        <f t="shared" si="58"/>
        <v>72</v>
      </c>
      <c r="AE40" s="89">
        <f t="shared" si="59"/>
        <v>324</v>
      </c>
      <c r="AF40" s="89">
        <f t="shared" si="60"/>
        <v>0</v>
      </c>
      <c r="AG40" s="89">
        <f t="shared" si="61"/>
        <v>36</v>
      </c>
      <c r="AH40" s="89">
        <f t="shared" si="62"/>
        <v>162</v>
      </c>
      <c r="AI40" s="89">
        <f t="shared" si="63"/>
        <v>0</v>
      </c>
      <c r="AJ40" s="89">
        <f t="shared" si="64"/>
        <v>12.5</v>
      </c>
      <c r="AK40" s="89">
        <f t="shared" si="65"/>
        <v>55</v>
      </c>
      <c r="AL40" s="89">
        <f t="shared" si="66"/>
        <v>0</v>
      </c>
      <c r="AM40" s="89">
        <f t="shared" si="67"/>
        <v>18</v>
      </c>
      <c r="AN40" s="89">
        <f t="shared" si="68"/>
        <v>64.8</v>
      </c>
      <c r="AO40" s="89">
        <f t="shared" si="69"/>
        <v>0</v>
      </c>
      <c r="AP40" s="89">
        <f t="shared" si="70"/>
        <v>18</v>
      </c>
      <c r="AQ40" s="89">
        <f t="shared" si="71"/>
        <v>64.8</v>
      </c>
      <c r="AR40" s="89">
        <f t="shared" si="72"/>
        <v>0</v>
      </c>
      <c r="AS40" s="89">
        <f t="shared" si="73"/>
        <v>18</v>
      </c>
      <c r="AT40" s="89">
        <f t="shared" si="74"/>
        <v>64.8</v>
      </c>
      <c r="AU40" s="89">
        <f t="shared" si="75"/>
        <v>0</v>
      </c>
      <c r="AV40" s="89">
        <f t="shared" si="76"/>
        <v>18</v>
      </c>
      <c r="AW40" s="89">
        <f t="shared" si="77"/>
        <v>64.8</v>
      </c>
      <c r="AX40" s="89">
        <f t="shared" si="78"/>
        <v>0</v>
      </c>
      <c r="AY40" s="89">
        <f t="shared" si="79"/>
        <v>0</v>
      </c>
      <c r="AZ40" s="52">
        <f t="shared" si="8"/>
        <v>0</v>
      </c>
      <c r="BA40" s="90">
        <f t="shared" si="9"/>
        <v>0</v>
      </c>
      <c r="BB40" s="91">
        <f t="shared" si="80"/>
        <v>25</v>
      </c>
      <c r="BC40" s="91">
        <f t="shared" si="10"/>
        <v>275</v>
      </c>
      <c r="BD40" s="91">
        <f t="shared" si="11"/>
        <v>0</v>
      </c>
      <c r="BE40" s="52">
        <f t="shared" si="12"/>
        <v>36</v>
      </c>
      <c r="BF40" s="52">
        <f t="shared" si="13"/>
        <v>324</v>
      </c>
      <c r="BG40" s="90">
        <f t="shared" si="14"/>
        <v>0</v>
      </c>
      <c r="BH40" s="52">
        <f t="shared" si="15"/>
        <v>36</v>
      </c>
      <c r="BI40" s="52">
        <f t="shared" si="16"/>
        <v>324</v>
      </c>
      <c r="BJ40" s="92">
        <f t="shared" si="17"/>
        <v>0</v>
      </c>
      <c r="BK40" s="91">
        <f t="shared" si="18"/>
        <v>36</v>
      </c>
      <c r="BL40" s="91">
        <f t="shared" si="19"/>
        <v>324</v>
      </c>
      <c r="BM40" s="93">
        <f t="shared" si="20"/>
        <v>0</v>
      </c>
      <c r="BN40" s="92">
        <f t="shared" si="81"/>
        <v>36</v>
      </c>
      <c r="BO40" s="92">
        <f t="shared" si="82"/>
        <v>324</v>
      </c>
      <c r="BP40" s="92">
        <f t="shared" si="83"/>
        <v>0</v>
      </c>
      <c r="BQ40" s="91">
        <f t="shared" si="21"/>
        <v>25</v>
      </c>
      <c r="BR40" s="91">
        <f t="shared" si="22"/>
        <v>275</v>
      </c>
      <c r="BS40" s="93">
        <f t="shared" si="23"/>
        <v>0</v>
      </c>
      <c r="BT40" s="91">
        <f t="shared" si="24"/>
        <v>36</v>
      </c>
      <c r="BU40" s="91">
        <f t="shared" si="25"/>
        <v>324</v>
      </c>
      <c r="BV40" s="94">
        <f t="shared" si="26"/>
        <v>0</v>
      </c>
      <c r="BW40" s="52">
        <f t="shared" si="27"/>
        <v>36</v>
      </c>
      <c r="BX40" s="52">
        <f t="shared" si="28"/>
        <v>324</v>
      </c>
      <c r="BY40" s="90">
        <f t="shared" si="29"/>
        <v>0</v>
      </c>
      <c r="BZ40" s="52">
        <f t="shared" si="30"/>
        <v>36</v>
      </c>
      <c r="CA40" s="52">
        <f t="shared" si="31"/>
        <v>324</v>
      </c>
      <c r="CB40" s="90">
        <f t="shared" si="32"/>
        <v>0</v>
      </c>
      <c r="CC40" s="52">
        <f t="shared" si="33"/>
        <v>36</v>
      </c>
      <c r="CD40" s="52">
        <f t="shared" si="34"/>
        <v>324</v>
      </c>
      <c r="CE40" s="90">
        <f t="shared" si="35"/>
        <v>0</v>
      </c>
      <c r="CF40" s="95">
        <f t="shared" si="36"/>
        <v>0</v>
      </c>
      <c r="CG40" s="97">
        <f t="shared" si="36"/>
        <v>1</v>
      </c>
      <c r="CH40" s="97">
        <f t="shared" si="36"/>
        <v>1</v>
      </c>
      <c r="CI40" s="97">
        <f t="shared" si="36"/>
        <v>1</v>
      </c>
      <c r="CJ40" s="97">
        <f t="shared" si="36"/>
        <v>0</v>
      </c>
      <c r="CK40" s="96">
        <f t="shared" si="37"/>
        <v>5</v>
      </c>
      <c r="CL40" s="96">
        <f t="shared" si="37"/>
        <v>0</v>
      </c>
      <c r="CM40" s="96">
        <f t="shared" si="37"/>
        <v>0</v>
      </c>
      <c r="CN40" s="96">
        <f t="shared" si="37"/>
        <v>0</v>
      </c>
      <c r="CO40" s="96">
        <f t="shared" si="37"/>
        <v>5</v>
      </c>
      <c r="CP40" s="96">
        <f t="shared" si="38"/>
        <v>6</v>
      </c>
      <c r="CQ40" s="96">
        <f t="shared" si="38"/>
        <v>0</v>
      </c>
      <c r="CR40" s="96">
        <f t="shared" si="38"/>
        <v>0</v>
      </c>
      <c r="CS40" s="96">
        <f t="shared" si="38"/>
        <v>0</v>
      </c>
      <c r="CT40" s="96">
        <f t="shared" si="38"/>
        <v>6</v>
      </c>
      <c r="CU40" s="96">
        <f t="shared" si="39"/>
        <v>6</v>
      </c>
      <c r="CV40" s="96">
        <f t="shared" si="39"/>
        <v>0</v>
      </c>
      <c r="CW40" s="96">
        <f t="shared" si="39"/>
        <v>0</v>
      </c>
      <c r="CX40" s="96">
        <f t="shared" si="39"/>
        <v>0</v>
      </c>
      <c r="CY40" s="96">
        <f t="shared" si="39"/>
        <v>6</v>
      </c>
      <c r="CZ40" s="96">
        <f t="shared" si="40"/>
        <v>6</v>
      </c>
      <c r="DA40" s="96">
        <f t="shared" si="40"/>
        <v>0</v>
      </c>
      <c r="DB40" s="96">
        <f t="shared" si="40"/>
        <v>0</v>
      </c>
      <c r="DC40" s="96">
        <f t="shared" si="40"/>
        <v>0</v>
      </c>
      <c r="DD40" s="96">
        <f t="shared" si="40"/>
        <v>6</v>
      </c>
      <c r="DE40" s="96">
        <f t="shared" si="84"/>
        <v>6</v>
      </c>
      <c r="DF40" s="96">
        <f t="shared" si="84"/>
        <v>0</v>
      </c>
      <c r="DG40" s="96">
        <f t="shared" si="84"/>
        <v>0</v>
      </c>
      <c r="DH40" s="96">
        <f t="shared" si="84"/>
        <v>0</v>
      </c>
      <c r="DI40" s="96">
        <f t="shared" si="84"/>
        <v>6</v>
      </c>
      <c r="DJ40" s="96">
        <f t="shared" si="41"/>
        <v>5</v>
      </c>
      <c r="DK40" s="96">
        <f t="shared" si="41"/>
        <v>0</v>
      </c>
      <c r="DL40" s="96">
        <f t="shared" si="41"/>
        <v>0</v>
      </c>
      <c r="DM40" s="96">
        <f t="shared" si="41"/>
        <v>0</v>
      </c>
      <c r="DN40" s="96">
        <f t="shared" si="41"/>
        <v>5</v>
      </c>
      <c r="DO40" s="96">
        <f t="shared" si="42"/>
        <v>6</v>
      </c>
      <c r="DP40" s="96">
        <f t="shared" si="42"/>
        <v>0</v>
      </c>
      <c r="DQ40" s="96">
        <f t="shared" si="42"/>
        <v>0</v>
      </c>
      <c r="DR40" s="96">
        <f t="shared" si="42"/>
        <v>0</v>
      </c>
      <c r="DS40" s="96">
        <f t="shared" si="42"/>
        <v>6</v>
      </c>
      <c r="DT40" s="96">
        <f t="shared" si="43"/>
        <v>6</v>
      </c>
      <c r="DU40" s="96">
        <f t="shared" si="43"/>
        <v>0</v>
      </c>
      <c r="DV40" s="96">
        <f t="shared" si="43"/>
        <v>0</v>
      </c>
      <c r="DW40" s="96">
        <f t="shared" si="43"/>
        <v>0</v>
      </c>
      <c r="DX40" s="96">
        <f t="shared" si="43"/>
        <v>6</v>
      </c>
      <c r="DY40" s="97">
        <f t="shared" si="44"/>
        <v>6</v>
      </c>
      <c r="DZ40" s="97">
        <f t="shared" si="44"/>
        <v>0</v>
      </c>
      <c r="EA40" s="97">
        <f t="shared" si="44"/>
        <v>0</v>
      </c>
      <c r="EB40" s="97">
        <f t="shared" si="44"/>
        <v>0</v>
      </c>
      <c r="EC40" s="97">
        <f t="shared" si="44"/>
        <v>6</v>
      </c>
      <c r="ED40" s="96">
        <f t="shared" si="45"/>
        <v>6</v>
      </c>
      <c r="EE40" s="96">
        <f t="shared" si="45"/>
        <v>0</v>
      </c>
      <c r="EF40" s="96">
        <f t="shared" si="45"/>
        <v>0</v>
      </c>
      <c r="EG40" s="96">
        <f t="shared" si="45"/>
        <v>0</v>
      </c>
      <c r="EH40" s="96">
        <f t="shared" si="45"/>
        <v>6</v>
      </c>
      <c r="EI40" s="96">
        <f t="shared" si="46"/>
        <v>1</v>
      </c>
      <c r="EJ40" s="96">
        <f t="shared" si="46"/>
        <v>0</v>
      </c>
      <c r="EK40" s="96">
        <f t="shared" si="46"/>
        <v>0</v>
      </c>
      <c r="EL40" s="96">
        <f t="shared" si="46"/>
        <v>0</v>
      </c>
      <c r="EM40" s="115">
        <f t="shared" si="46"/>
        <v>1</v>
      </c>
      <c r="EN40" s="98">
        <f t="shared" si="85"/>
        <v>60</v>
      </c>
      <c r="EO40" s="98">
        <f t="shared" si="85"/>
        <v>1</v>
      </c>
      <c r="EP40" s="98">
        <f t="shared" si="85"/>
        <v>1</v>
      </c>
      <c r="EQ40" s="98">
        <f t="shared" si="85"/>
        <v>1</v>
      </c>
      <c r="ER40" s="98">
        <f t="shared" si="85"/>
        <v>60</v>
      </c>
    </row>
    <row r="41" spans="1:148" ht="17" thickBot="1" x14ac:dyDescent="0.25">
      <c r="A41" s="10" t="s">
        <v>7</v>
      </c>
      <c r="B41" s="11" t="s">
        <v>8</v>
      </c>
      <c r="C41" s="11" t="s">
        <v>9</v>
      </c>
      <c r="D41" s="11" t="s">
        <v>10</v>
      </c>
      <c r="E41" s="11" t="s">
        <v>11</v>
      </c>
      <c r="F41" s="12" t="s">
        <v>12</v>
      </c>
      <c r="G41" s="13"/>
      <c r="I41" s="88">
        <f t="shared" si="86"/>
        <v>15</v>
      </c>
      <c r="J41" s="27">
        <v>0</v>
      </c>
      <c r="K41">
        <v>1</v>
      </c>
      <c r="L41">
        <v>1</v>
      </c>
      <c r="M41">
        <v>1</v>
      </c>
      <c r="N41">
        <v>1</v>
      </c>
      <c r="O41">
        <f t="shared" si="3"/>
        <v>4.4206532921810688E-5</v>
      </c>
      <c r="P41" s="74">
        <f t="shared" si="47"/>
        <v>4</v>
      </c>
      <c r="Q41" s="114">
        <f t="shared" si="48"/>
        <v>3.0083333333333333</v>
      </c>
      <c r="R41" s="89">
        <f t="shared" si="4"/>
        <v>0</v>
      </c>
      <c r="S41" s="52">
        <f t="shared" si="5"/>
        <v>0</v>
      </c>
      <c r="T41" s="90">
        <f t="shared" si="6"/>
        <v>0</v>
      </c>
      <c r="U41" s="89">
        <f t="shared" si="49"/>
        <v>100</v>
      </c>
      <c r="V41" s="89">
        <f t="shared" si="50"/>
        <v>0</v>
      </c>
      <c r="W41" s="89">
        <f t="shared" si="51"/>
        <v>0</v>
      </c>
      <c r="X41" s="89">
        <f t="shared" si="52"/>
        <v>30</v>
      </c>
      <c r="Y41" s="89">
        <f t="shared" si="53"/>
        <v>0</v>
      </c>
      <c r="Z41" s="89">
        <f t="shared" si="54"/>
        <v>0</v>
      </c>
      <c r="AA41" s="89">
        <f t="shared" si="55"/>
        <v>18</v>
      </c>
      <c r="AB41" s="89">
        <f t="shared" si="56"/>
        <v>0</v>
      </c>
      <c r="AC41" s="89">
        <f t="shared" si="57"/>
        <v>0</v>
      </c>
      <c r="AD41" s="89">
        <f t="shared" si="58"/>
        <v>12</v>
      </c>
      <c r="AE41" s="89">
        <f t="shared" si="59"/>
        <v>0</v>
      </c>
      <c r="AF41" s="89">
        <f t="shared" si="60"/>
        <v>0</v>
      </c>
      <c r="AG41" s="89">
        <f t="shared" si="61"/>
        <v>6</v>
      </c>
      <c r="AH41" s="89">
        <f t="shared" si="62"/>
        <v>0</v>
      </c>
      <c r="AI41" s="89">
        <f t="shared" si="63"/>
        <v>0</v>
      </c>
      <c r="AJ41" s="89">
        <f t="shared" si="64"/>
        <v>2.5</v>
      </c>
      <c r="AK41" s="89">
        <f t="shared" si="65"/>
        <v>0</v>
      </c>
      <c r="AL41" s="89">
        <f t="shared" si="66"/>
        <v>0</v>
      </c>
      <c r="AM41" s="89">
        <f t="shared" si="67"/>
        <v>3</v>
      </c>
      <c r="AN41" s="89">
        <f t="shared" si="68"/>
        <v>0</v>
      </c>
      <c r="AO41" s="89">
        <f t="shared" si="69"/>
        <v>0</v>
      </c>
      <c r="AP41" s="89">
        <f t="shared" si="70"/>
        <v>3</v>
      </c>
      <c r="AQ41" s="89">
        <f t="shared" si="71"/>
        <v>0</v>
      </c>
      <c r="AR41" s="89">
        <f t="shared" si="72"/>
        <v>0</v>
      </c>
      <c r="AS41" s="89">
        <f t="shared" si="73"/>
        <v>3</v>
      </c>
      <c r="AT41" s="89">
        <f t="shared" si="74"/>
        <v>0</v>
      </c>
      <c r="AU41" s="89">
        <f t="shared" si="75"/>
        <v>0</v>
      </c>
      <c r="AV41" s="89">
        <f t="shared" si="76"/>
        <v>3</v>
      </c>
      <c r="AW41" s="89">
        <f t="shared" si="77"/>
        <v>0</v>
      </c>
      <c r="AX41" s="89">
        <f t="shared" si="78"/>
        <v>0</v>
      </c>
      <c r="AY41" s="89">
        <f t="shared" si="79"/>
        <v>0</v>
      </c>
      <c r="AZ41" s="52">
        <f t="shared" si="8"/>
        <v>0</v>
      </c>
      <c r="BA41" s="90">
        <f t="shared" si="9"/>
        <v>0</v>
      </c>
      <c r="BB41" s="91">
        <f t="shared" si="80"/>
        <v>5</v>
      </c>
      <c r="BC41" s="91">
        <f t="shared" si="10"/>
        <v>0</v>
      </c>
      <c r="BD41" s="91">
        <f t="shared" si="11"/>
        <v>0</v>
      </c>
      <c r="BE41" s="52">
        <f t="shared" si="12"/>
        <v>6</v>
      </c>
      <c r="BF41" s="52">
        <f t="shared" si="13"/>
        <v>0</v>
      </c>
      <c r="BG41" s="90">
        <f t="shared" si="14"/>
        <v>0</v>
      </c>
      <c r="BH41" s="52">
        <f t="shared" si="15"/>
        <v>6</v>
      </c>
      <c r="BI41" s="52">
        <f t="shared" si="16"/>
        <v>0</v>
      </c>
      <c r="BJ41" s="92">
        <f t="shared" si="17"/>
        <v>0</v>
      </c>
      <c r="BK41" s="91">
        <f t="shared" si="18"/>
        <v>6</v>
      </c>
      <c r="BL41" s="91">
        <f t="shared" si="19"/>
        <v>0</v>
      </c>
      <c r="BM41" s="93">
        <f t="shared" si="20"/>
        <v>0</v>
      </c>
      <c r="BN41" s="92">
        <f t="shared" si="81"/>
        <v>6</v>
      </c>
      <c r="BO41" s="92">
        <f t="shared" si="82"/>
        <v>0</v>
      </c>
      <c r="BP41" s="92">
        <f t="shared" si="83"/>
        <v>0</v>
      </c>
      <c r="BQ41" s="91">
        <f t="shared" si="21"/>
        <v>5</v>
      </c>
      <c r="BR41" s="91">
        <f t="shared" si="22"/>
        <v>0</v>
      </c>
      <c r="BS41" s="93">
        <f t="shared" si="23"/>
        <v>0</v>
      </c>
      <c r="BT41" s="91">
        <f t="shared" si="24"/>
        <v>6</v>
      </c>
      <c r="BU41" s="91">
        <f t="shared" si="25"/>
        <v>0</v>
      </c>
      <c r="BV41" s="94">
        <f t="shared" si="26"/>
        <v>0</v>
      </c>
      <c r="BW41" s="52">
        <f t="shared" si="27"/>
        <v>6</v>
      </c>
      <c r="BX41" s="52">
        <f t="shared" si="28"/>
        <v>0</v>
      </c>
      <c r="BY41" s="90">
        <f t="shared" si="29"/>
        <v>0</v>
      </c>
      <c r="BZ41" s="52">
        <f t="shared" si="30"/>
        <v>6</v>
      </c>
      <c r="CA41" s="52">
        <f t="shared" si="31"/>
        <v>0</v>
      </c>
      <c r="CB41" s="90">
        <f t="shared" si="32"/>
        <v>0</v>
      </c>
      <c r="CC41" s="52">
        <f t="shared" si="33"/>
        <v>6</v>
      </c>
      <c r="CD41" s="52">
        <f t="shared" si="34"/>
        <v>0</v>
      </c>
      <c r="CE41" s="90">
        <f t="shared" si="35"/>
        <v>0</v>
      </c>
      <c r="CF41" s="95">
        <f t="shared" si="36"/>
        <v>0</v>
      </c>
      <c r="CG41" s="97">
        <f t="shared" si="36"/>
        <v>1</v>
      </c>
      <c r="CH41" s="97">
        <f t="shared" si="36"/>
        <v>1</v>
      </c>
      <c r="CI41" s="97">
        <f t="shared" si="36"/>
        <v>1</v>
      </c>
      <c r="CJ41" s="97">
        <f t="shared" si="36"/>
        <v>1</v>
      </c>
      <c r="CK41" s="96">
        <f t="shared" si="37"/>
        <v>5</v>
      </c>
      <c r="CL41" s="96">
        <f t="shared" si="37"/>
        <v>0</v>
      </c>
      <c r="CM41" s="96">
        <f t="shared" si="37"/>
        <v>0</v>
      </c>
      <c r="CN41" s="96">
        <f t="shared" si="37"/>
        <v>0</v>
      </c>
      <c r="CO41" s="96">
        <f t="shared" si="37"/>
        <v>0</v>
      </c>
      <c r="CP41" s="96">
        <f t="shared" si="38"/>
        <v>6</v>
      </c>
      <c r="CQ41" s="96">
        <f t="shared" si="38"/>
        <v>0</v>
      </c>
      <c r="CR41" s="96">
        <f t="shared" si="38"/>
        <v>0</v>
      </c>
      <c r="CS41" s="96">
        <f t="shared" si="38"/>
        <v>0</v>
      </c>
      <c r="CT41" s="96">
        <f t="shared" si="38"/>
        <v>0</v>
      </c>
      <c r="CU41" s="96">
        <f t="shared" si="39"/>
        <v>6</v>
      </c>
      <c r="CV41" s="96">
        <f t="shared" si="39"/>
        <v>0</v>
      </c>
      <c r="CW41" s="96">
        <f t="shared" si="39"/>
        <v>0</v>
      </c>
      <c r="CX41" s="96">
        <f t="shared" si="39"/>
        <v>0</v>
      </c>
      <c r="CY41" s="96">
        <f t="shared" si="39"/>
        <v>0</v>
      </c>
      <c r="CZ41" s="96">
        <f t="shared" si="40"/>
        <v>6</v>
      </c>
      <c r="DA41" s="96">
        <f t="shared" si="40"/>
        <v>0</v>
      </c>
      <c r="DB41" s="96">
        <f t="shared" si="40"/>
        <v>0</v>
      </c>
      <c r="DC41" s="96">
        <f t="shared" si="40"/>
        <v>0</v>
      </c>
      <c r="DD41" s="96">
        <f t="shared" si="40"/>
        <v>0</v>
      </c>
      <c r="DE41" s="96">
        <f t="shared" si="84"/>
        <v>6</v>
      </c>
      <c r="DF41" s="96">
        <f t="shared" si="84"/>
        <v>0</v>
      </c>
      <c r="DG41" s="96">
        <f t="shared" si="84"/>
        <v>0</v>
      </c>
      <c r="DH41" s="96">
        <f t="shared" si="84"/>
        <v>0</v>
      </c>
      <c r="DI41" s="96">
        <f t="shared" si="84"/>
        <v>0</v>
      </c>
      <c r="DJ41" s="96">
        <f t="shared" si="41"/>
        <v>5</v>
      </c>
      <c r="DK41" s="96">
        <f t="shared" si="41"/>
        <v>0</v>
      </c>
      <c r="DL41" s="96">
        <f t="shared" si="41"/>
        <v>0</v>
      </c>
      <c r="DM41" s="96">
        <f t="shared" si="41"/>
        <v>0</v>
      </c>
      <c r="DN41" s="96">
        <f t="shared" si="41"/>
        <v>0</v>
      </c>
      <c r="DO41" s="96">
        <f t="shared" si="42"/>
        <v>6</v>
      </c>
      <c r="DP41" s="96">
        <f t="shared" si="42"/>
        <v>0</v>
      </c>
      <c r="DQ41" s="96">
        <f t="shared" si="42"/>
        <v>0</v>
      </c>
      <c r="DR41" s="96">
        <f t="shared" si="42"/>
        <v>0</v>
      </c>
      <c r="DS41" s="96">
        <f t="shared" si="42"/>
        <v>0</v>
      </c>
      <c r="DT41" s="96">
        <f t="shared" si="43"/>
        <v>6</v>
      </c>
      <c r="DU41" s="96">
        <f t="shared" si="43"/>
        <v>0</v>
      </c>
      <c r="DV41" s="96">
        <f t="shared" si="43"/>
        <v>0</v>
      </c>
      <c r="DW41" s="96">
        <f t="shared" si="43"/>
        <v>0</v>
      </c>
      <c r="DX41" s="96">
        <f t="shared" si="43"/>
        <v>0</v>
      </c>
      <c r="DY41" s="97">
        <f t="shared" si="44"/>
        <v>6</v>
      </c>
      <c r="DZ41" s="97">
        <f t="shared" si="44"/>
        <v>0</v>
      </c>
      <c r="EA41" s="97">
        <f t="shared" si="44"/>
        <v>0</v>
      </c>
      <c r="EB41" s="97">
        <f t="shared" si="44"/>
        <v>0</v>
      </c>
      <c r="EC41" s="97">
        <f t="shared" si="44"/>
        <v>0</v>
      </c>
      <c r="ED41" s="96">
        <f t="shared" si="45"/>
        <v>6</v>
      </c>
      <c r="EE41" s="96">
        <f t="shared" si="45"/>
        <v>0</v>
      </c>
      <c r="EF41" s="96">
        <f t="shared" si="45"/>
        <v>0</v>
      </c>
      <c r="EG41" s="96">
        <f t="shared" si="45"/>
        <v>0</v>
      </c>
      <c r="EH41" s="96">
        <f t="shared" si="45"/>
        <v>0</v>
      </c>
      <c r="EI41" s="96">
        <f t="shared" si="46"/>
        <v>1</v>
      </c>
      <c r="EJ41" s="96">
        <f t="shared" si="46"/>
        <v>0</v>
      </c>
      <c r="EK41" s="96">
        <f t="shared" si="46"/>
        <v>0</v>
      </c>
      <c r="EL41" s="96">
        <f t="shared" si="46"/>
        <v>0</v>
      </c>
      <c r="EM41" s="115">
        <f t="shared" si="46"/>
        <v>0</v>
      </c>
      <c r="EN41" s="98">
        <f t="shared" si="85"/>
        <v>60</v>
      </c>
      <c r="EO41" s="98">
        <f t="shared" si="85"/>
        <v>1</v>
      </c>
      <c r="EP41" s="98">
        <f t="shared" si="85"/>
        <v>1</v>
      </c>
      <c r="EQ41" s="98">
        <f t="shared" si="85"/>
        <v>1</v>
      </c>
      <c r="ER41" s="98">
        <f t="shared" si="85"/>
        <v>1</v>
      </c>
    </row>
    <row r="42" spans="1:148" ht="17" thickBot="1" x14ac:dyDescent="0.25">
      <c r="A42" s="19" t="s">
        <v>6</v>
      </c>
      <c r="B42" s="62">
        <f>W4/W$18</f>
        <v>0</v>
      </c>
      <c r="C42" s="62">
        <f>X4/X$18</f>
        <v>0</v>
      </c>
      <c r="D42" s="62">
        <f>Y4/Y$18</f>
        <v>0</v>
      </c>
      <c r="E42" s="62">
        <f>Z4/Z$18</f>
        <v>0</v>
      </c>
      <c r="F42" s="63">
        <f>AA4/AA$18</f>
        <v>0</v>
      </c>
      <c r="G42" s="21"/>
      <c r="I42" s="88">
        <f t="shared" si="86"/>
        <v>16</v>
      </c>
      <c r="J42" s="27">
        <v>1</v>
      </c>
      <c r="K42">
        <v>0</v>
      </c>
      <c r="L42">
        <v>0</v>
      </c>
      <c r="M42">
        <v>0</v>
      </c>
      <c r="N42">
        <v>0</v>
      </c>
      <c r="O42">
        <f t="shared" si="3"/>
        <v>5.8838895318930023E-2</v>
      </c>
      <c r="P42" s="74">
        <f t="shared" si="47"/>
        <v>1</v>
      </c>
      <c r="Q42" s="114">
        <f t="shared" si="48"/>
        <v>8.3805493827160502E-2</v>
      </c>
      <c r="R42" s="89">
        <f t="shared" si="4"/>
        <v>0</v>
      </c>
      <c r="S42" s="52">
        <f t="shared" si="5"/>
        <v>0</v>
      </c>
      <c r="T42" s="90">
        <f t="shared" si="6"/>
        <v>0</v>
      </c>
      <c r="U42" s="89">
        <f t="shared" si="49"/>
        <v>12500</v>
      </c>
      <c r="V42" s="89">
        <f t="shared" si="50"/>
        <v>68750</v>
      </c>
      <c r="W42" s="89">
        <f t="shared" si="51"/>
        <v>412500</v>
      </c>
      <c r="X42" s="89">
        <f t="shared" si="52"/>
        <v>6480</v>
      </c>
      <c r="Y42" s="89">
        <f t="shared" si="53"/>
        <v>34992</v>
      </c>
      <c r="Z42" s="89">
        <f t="shared" si="54"/>
        <v>233280</v>
      </c>
      <c r="AA42" s="89">
        <f t="shared" si="55"/>
        <v>3888</v>
      </c>
      <c r="AB42" s="89">
        <f t="shared" si="56"/>
        <v>23328</v>
      </c>
      <c r="AC42" s="89">
        <f t="shared" si="57"/>
        <v>116640</v>
      </c>
      <c r="AD42" s="89">
        <f t="shared" si="58"/>
        <v>2592</v>
      </c>
      <c r="AE42" s="89">
        <f t="shared" si="59"/>
        <v>11664</v>
      </c>
      <c r="AF42" s="89">
        <f t="shared" si="60"/>
        <v>58320</v>
      </c>
      <c r="AG42" s="89">
        <f t="shared" si="61"/>
        <v>1296</v>
      </c>
      <c r="AH42" s="89">
        <f t="shared" si="62"/>
        <v>5832</v>
      </c>
      <c r="AI42" s="89">
        <f t="shared" si="63"/>
        <v>23328</v>
      </c>
      <c r="AJ42" s="89">
        <f t="shared" si="64"/>
        <v>450</v>
      </c>
      <c r="AK42" s="89">
        <f t="shared" si="65"/>
        <v>1980</v>
      </c>
      <c r="AL42" s="89">
        <f t="shared" si="66"/>
        <v>9720</v>
      </c>
      <c r="AM42" s="89">
        <f t="shared" si="67"/>
        <v>648</v>
      </c>
      <c r="AN42" s="89">
        <f t="shared" si="68"/>
        <v>2332.8000000000002</v>
      </c>
      <c r="AO42" s="89">
        <f t="shared" si="69"/>
        <v>11664</v>
      </c>
      <c r="AP42" s="89">
        <f t="shared" si="70"/>
        <v>648</v>
      </c>
      <c r="AQ42" s="89">
        <f t="shared" si="71"/>
        <v>2332.8000000000002</v>
      </c>
      <c r="AR42" s="89">
        <f t="shared" si="72"/>
        <v>11664</v>
      </c>
      <c r="AS42" s="89">
        <f t="shared" si="73"/>
        <v>648</v>
      </c>
      <c r="AT42" s="89">
        <f t="shared" si="74"/>
        <v>2332.8000000000002</v>
      </c>
      <c r="AU42" s="89">
        <f t="shared" si="75"/>
        <v>11664</v>
      </c>
      <c r="AV42" s="89">
        <f t="shared" si="76"/>
        <v>648</v>
      </c>
      <c r="AW42" s="89">
        <f t="shared" si="77"/>
        <v>2332.8000000000002</v>
      </c>
      <c r="AX42" s="89">
        <f t="shared" si="78"/>
        <v>11664</v>
      </c>
      <c r="AY42" s="89">
        <f t="shared" si="79"/>
        <v>0</v>
      </c>
      <c r="AZ42" s="52">
        <f t="shared" si="8"/>
        <v>0</v>
      </c>
      <c r="BA42" s="90">
        <f t="shared" si="9"/>
        <v>0</v>
      </c>
      <c r="BB42" s="91">
        <f t="shared" si="80"/>
        <v>625</v>
      </c>
      <c r="BC42" s="91">
        <f t="shared" si="10"/>
        <v>6875</v>
      </c>
      <c r="BD42" s="91">
        <f t="shared" si="11"/>
        <v>82500</v>
      </c>
      <c r="BE42" s="52">
        <f t="shared" si="12"/>
        <v>1296</v>
      </c>
      <c r="BF42" s="52">
        <f t="shared" si="13"/>
        <v>11664</v>
      </c>
      <c r="BG42" s="90">
        <f t="shared" si="14"/>
        <v>116640</v>
      </c>
      <c r="BH42" s="52">
        <f t="shared" si="15"/>
        <v>1296</v>
      </c>
      <c r="BI42" s="52">
        <f t="shared" si="16"/>
        <v>11664</v>
      </c>
      <c r="BJ42" s="92">
        <f t="shared" si="17"/>
        <v>116640</v>
      </c>
      <c r="BK42" s="91">
        <f t="shared" si="18"/>
        <v>1296</v>
      </c>
      <c r="BL42" s="91">
        <f t="shared" si="19"/>
        <v>11664</v>
      </c>
      <c r="BM42" s="93">
        <f t="shared" si="20"/>
        <v>116640</v>
      </c>
      <c r="BN42" s="92">
        <f t="shared" si="81"/>
        <v>1296</v>
      </c>
      <c r="BO42" s="92">
        <f t="shared" si="82"/>
        <v>11664</v>
      </c>
      <c r="BP42" s="92">
        <f t="shared" si="83"/>
        <v>116640</v>
      </c>
      <c r="BQ42" s="91">
        <f t="shared" si="21"/>
        <v>900</v>
      </c>
      <c r="BR42" s="91">
        <f t="shared" si="22"/>
        <v>9900</v>
      </c>
      <c r="BS42" s="93">
        <f t="shared" si="23"/>
        <v>97200</v>
      </c>
      <c r="BT42" s="91">
        <f t="shared" si="24"/>
        <v>1296</v>
      </c>
      <c r="BU42" s="91">
        <f t="shared" si="25"/>
        <v>11664</v>
      </c>
      <c r="BV42" s="94">
        <f t="shared" si="26"/>
        <v>116640</v>
      </c>
      <c r="BW42" s="52">
        <f t="shared" si="27"/>
        <v>1296</v>
      </c>
      <c r="BX42" s="52">
        <f t="shared" si="28"/>
        <v>11664</v>
      </c>
      <c r="BY42" s="90">
        <f t="shared" si="29"/>
        <v>116640</v>
      </c>
      <c r="BZ42" s="52">
        <f t="shared" si="30"/>
        <v>1296</v>
      </c>
      <c r="CA42" s="52">
        <f t="shared" si="31"/>
        <v>11664</v>
      </c>
      <c r="CB42" s="90">
        <f t="shared" si="32"/>
        <v>116640</v>
      </c>
      <c r="CC42" s="52">
        <f t="shared" si="33"/>
        <v>1296</v>
      </c>
      <c r="CD42" s="52">
        <f t="shared" si="34"/>
        <v>11664</v>
      </c>
      <c r="CE42" s="90">
        <f t="shared" si="35"/>
        <v>116640</v>
      </c>
      <c r="CF42" s="95">
        <f t="shared" si="36"/>
        <v>1</v>
      </c>
      <c r="CG42" s="97">
        <f t="shared" si="36"/>
        <v>0</v>
      </c>
      <c r="CH42" s="97">
        <f t="shared" si="36"/>
        <v>0</v>
      </c>
      <c r="CI42" s="97">
        <f t="shared" si="36"/>
        <v>0</v>
      </c>
      <c r="CJ42" s="97">
        <f t="shared" si="36"/>
        <v>0</v>
      </c>
      <c r="CK42" s="96">
        <f t="shared" si="37"/>
        <v>0</v>
      </c>
      <c r="CL42" s="96">
        <f t="shared" si="37"/>
        <v>5</v>
      </c>
      <c r="CM42" s="96">
        <f t="shared" si="37"/>
        <v>5</v>
      </c>
      <c r="CN42" s="96">
        <f t="shared" si="37"/>
        <v>5</v>
      </c>
      <c r="CO42" s="96">
        <f t="shared" si="37"/>
        <v>5</v>
      </c>
      <c r="CP42" s="96">
        <f t="shared" si="38"/>
        <v>0</v>
      </c>
      <c r="CQ42" s="96">
        <f t="shared" si="38"/>
        <v>6</v>
      </c>
      <c r="CR42" s="96">
        <f t="shared" si="38"/>
        <v>6</v>
      </c>
      <c r="CS42" s="96">
        <f t="shared" si="38"/>
        <v>6</v>
      </c>
      <c r="CT42" s="96">
        <f t="shared" si="38"/>
        <v>6</v>
      </c>
      <c r="CU42" s="96">
        <f t="shared" si="39"/>
        <v>0</v>
      </c>
      <c r="CV42" s="96">
        <f t="shared" si="39"/>
        <v>6</v>
      </c>
      <c r="CW42" s="96">
        <f t="shared" si="39"/>
        <v>6</v>
      </c>
      <c r="CX42" s="96">
        <f t="shared" si="39"/>
        <v>6</v>
      </c>
      <c r="CY42" s="96">
        <f t="shared" si="39"/>
        <v>6</v>
      </c>
      <c r="CZ42" s="96">
        <f t="shared" si="40"/>
        <v>0</v>
      </c>
      <c r="DA42" s="96">
        <f t="shared" si="40"/>
        <v>6</v>
      </c>
      <c r="DB42" s="96">
        <f t="shared" si="40"/>
        <v>6</v>
      </c>
      <c r="DC42" s="96">
        <f t="shared" si="40"/>
        <v>6</v>
      </c>
      <c r="DD42" s="96">
        <f t="shared" si="40"/>
        <v>6</v>
      </c>
      <c r="DE42" s="96">
        <f t="shared" si="84"/>
        <v>0</v>
      </c>
      <c r="DF42" s="96">
        <f t="shared" si="84"/>
        <v>6</v>
      </c>
      <c r="DG42" s="96">
        <f t="shared" si="84"/>
        <v>6</v>
      </c>
      <c r="DH42" s="96">
        <f t="shared" si="84"/>
        <v>6</v>
      </c>
      <c r="DI42" s="96">
        <f t="shared" si="84"/>
        <v>6</v>
      </c>
      <c r="DJ42" s="96">
        <f t="shared" si="41"/>
        <v>0</v>
      </c>
      <c r="DK42" s="96">
        <f t="shared" si="41"/>
        <v>6</v>
      </c>
      <c r="DL42" s="96">
        <f t="shared" si="41"/>
        <v>5</v>
      </c>
      <c r="DM42" s="96">
        <f t="shared" si="41"/>
        <v>6</v>
      </c>
      <c r="DN42" s="96">
        <f t="shared" si="41"/>
        <v>5</v>
      </c>
      <c r="DO42" s="96">
        <f t="shared" si="42"/>
        <v>0</v>
      </c>
      <c r="DP42" s="96">
        <f t="shared" si="42"/>
        <v>6</v>
      </c>
      <c r="DQ42" s="96">
        <f t="shared" si="42"/>
        <v>6</v>
      </c>
      <c r="DR42" s="96">
        <f t="shared" si="42"/>
        <v>6</v>
      </c>
      <c r="DS42" s="96">
        <f t="shared" si="42"/>
        <v>6</v>
      </c>
      <c r="DT42" s="96">
        <f t="shared" si="43"/>
        <v>0</v>
      </c>
      <c r="DU42" s="96">
        <f t="shared" si="43"/>
        <v>6</v>
      </c>
      <c r="DV42" s="96">
        <f t="shared" si="43"/>
        <v>6</v>
      </c>
      <c r="DW42" s="96">
        <f t="shared" si="43"/>
        <v>6</v>
      </c>
      <c r="DX42" s="96">
        <f t="shared" si="43"/>
        <v>6</v>
      </c>
      <c r="DY42" s="97">
        <f t="shared" si="44"/>
        <v>0</v>
      </c>
      <c r="DZ42" s="97">
        <f t="shared" si="44"/>
        <v>6</v>
      </c>
      <c r="EA42" s="97">
        <f t="shared" si="44"/>
        <v>6</v>
      </c>
      <c r="EB42" s="97">
        <f t="shared" si="44"/>
        <v>6</v>
      </c>
      <c r="EC42" s="97">
        <f t="shared" si="44"/>
        <v>6</v>
      </c>
      <c r="ED42" s="96">
        <f t="shared" si="45"/>
        <v>0</v>
      </c>
      <c r="EE42" s="96">
        <f t="shared" si="45"/>
        <v>6</v>
      </c>
      <c r="EF42" s="96">
        <f t="shared" si="45"/>
        <v>6</v>
      </c>
      <c r="EG42" s="96">
        <f t="shared" si="45"/>
        <v>6</v>
      </c>
      <c r="EH42" s="96">
        <f t="shared" si="45"/>
        <v>6</v>
      </c>
      <c r="EI42" s="96">
        <f t="shared" si="46"/>
        <v>0</v>
      </c>
      <c r="EJ42" s="96">
        <f t="shared" si="46"/>
        <v>0</v>
      </c>
      <c r="EK42" s="96">
        <f t="shared" si="46"/>
        <v>1</v>
      </c>
      <c r="EL42" s="96">
        <f t="shared" si="46"/>
        <v>0</v>
      </c>
      <c r="EM42" s="115">
        <f t="shared" si="46"/>
        <v>1</v>
      </c>
      <c r="EN42" s="98">
        <f t="shared" si="85"/>
        <v>1</v>
      </c>
      <c r="EO42" s="98">
        <f t="shared" si="85"/>
        <v>60</v>
      </c>
      <c r="EP42" s="98">
        <f t="shared" si="85"/>
        <v>60</v>
      </c>
      <c r="EQ42" s="98">
        <f t="shared" si="85"/>
        <v>60</v>
      </c>
      <c r="ER42" s="98">
        <f t="shared" si="85"/>
        <v>60</v>
      </c>
    </row>
    <row r="43" spans="1:148" ht="17" thickBot="1" x14ac:dyDescent="0.25">
      <c r="A43" s="19" t="s">
        <v>15</v>
      </c>
      <c r="B43" s="62" cm="1">
        <f t="array" ref="B43:F54">W5:AA16</f>
        <v>5</v>
      </c>
      <c r="C43" s="62">
        <v>5</v>
      </c>
      <c r="D43" s="62">
        <v>5</v>
      </c>
      <c r="E43" s="62">
        <v>5</v>
      </c>
      <c r="F43" s="63">
        <v>5</v>
      </c>
      <c r="G43" s="21"/>
      <c r="I43" s="88">
        <f t="shared" si="86"/>
        <v>17</v>
      </c>
      <c r="J43" s="27">
        <v>1</v>
      </c>
      <c r="K43">
        <v>0</v>
      </c>
      <c r="L43">
        <v>0</v>
      </c>
      <c r="M43">
        <v>0</v>
      </c>
      <c r="N43">
        <v>1</v>
      </c>
      <c r="O43">
        <f t="shared" si="3"/>
        <v>5.348990483539093E-3</v>
      </c>
      <c r="P43" s="74">
        <f t="shared" si="47"/>
        <v>2</v>
      </c>
      <c r="Q43" s="114">
        <f t="shared" si="48"/>
        <v>9.4469444444444467E-2</v>
      </c>
      <c r="R43" s="89">
        <f t="shared" si="4"/>
        <v>0</v>
      </c>
      <c r="S43" s="52">
        <f t="shared" si="5"/>
        <v>0</v>
      </c>
      <c r="T43" s="90">
        <f t="shared" si="6"/>
        <v>0</v>
      </c>
      <c r="U43" s="89">
        <f t="shared" si="49"/>
        <v>2500</v>
      </c>
      <c r="V43" s="89">
        <f t="shared" si="50"/>
        <v>0</v>
      </c>
      <c r="W43" s="89">
        <f t="shared" si="51"/>
        <v>6875</v>
      </c>
      <c r="X43" s="89">
        <f t="shared" si="52"/>
        <v>1080</v>
      </c>
      <c r="Y43" s="89">
        <f t="shared" si="53"/>
        <v>0</v>
      </c>
      <c r="Z43" s="89">
        <f t="shared" si="54"/>
        <v>3888</v>
      </c>
      <c r="AA43" s="89">
        <f t="shared" si="55"/>
        <v>648</v>
      </c>
      <c r="AB43" s="89">
        <f t="shared" si="56"/>
        <v>0</v>
      </c>
      <c r="AC43" s="89">
        <f t="shared" si="57"/>
        <v>1944</v>
      </c>
      <c r="AD43" s="89">
        <f t="shared" si="58"/>
        <v>432</v>
      </c>
      <c r="AE43" s="89">
        <f t="shared" si="59"/>
        <v>0</v>
      </c>
      <c r="AF43" s="89">
        <f t="shared" si="60"/>
        <v>972</v>
      </c>
      <c r="AG43" s="89">
        <f t="shared" si="61"/>
        <v>216</v>
      </c>
      <c r="AH43" s="89">
        <f t="shared" si="62"/>
        <v>0</v>
      </c>
      <c r="AI43" s="89">
        <f t="shared" si="63"/>
        <v>388.8</v>
      </c>
      <c r="AJ43" s="89">
        <f t="shared" si="64"/>
        <v>90</v>
      </c>
      <c r="AK43" s="89">
        <f t="shared" si="65"/>
        <v>0</v>
      </c>
      <c r="AL43" s="89">
        <f t="shared" si="66"/>
        <v>162</v>
      </c>
      <c r="AM43" s="89">
        <f t="shared" si="67"/>
        <v>108</v>
      </c>
      <c r="AN43" s="89">
        <f t="shared" si="68"/>
        <v>0</v>
      </c>
      <c r="AO43" s="89">
        <f t="shared" si="69"/>
        <v>194.4</v>
      </c>
      <c r="AP43" s="89">
        <f t="shared" si="70"/>
        <v>108</v>
      </c>
      <c r="AQ43" s="89">
        <f t="shared" si="71"/>
        <v>0</v>
      </c>
      <c r="AR43" s="89">
        <f t="shared" si="72"/>
        <v>194.4</v>
      </c>
      <c r="AS43" s="89">
        <f t="shared" si="73"/>
        <v>108</v>
      </c>
      <c r="AT43" s="89">
        <f t="shared" si="74"/>
        <v>0</v>
      </c>
      <c r="AU43" s="89">
        <f t="shared" si="75"/>
        <v>194.4</v>
      </c>
      <c r="AV43" s="89">
        <f t="shared" si="76"/>
        <v>108</v>
      </c>
      <c r="AW43" s="89">
        <f t="shared" si="77"/>
        <v>0</v>
      </c>
      <c r="AX43" s="89">
        <f t="shared" si="78"/>
        <v>194.4</v>
      </c>
      <c r="AY43" s="89">
        <f t="shared" si="79"/>
        <v>0</v>
      </c>
      <c r="AZ43" s="52">
        <f t="shared" si="8"/>
        <v>0</v>
      </c>
      <c r="BA43" s="90">
        <f t="shared" si="9"/>
        <v>0</v>
      </c>
      <c r="BB43" s="91">
        <f t="shared" si="80"/>
        <v>125</v>
      </c>
      <c r="BC43" s="91">
        <f t="shared" si="10"/>
        <v>0</v>
      </c>
      <c r="BD43" s="91">
        <f t="shared" si="11"/>
        <v>1375</v>
      </c>
      <c r="BE43" s="52">
        <f t="shared" si="12"/>
        <v>216</v>
      </c>
      <c r="BF43" s="52">
        <f t="shared" si="13"/>
        <v>0</v>
      </c>
      <c r="BG43" s="90">
        <f t="shared" si="14"/>
        <v>1944</v>
      </c>
      <c r="BH43" s="52">
        <f t="shared" si="15"/>
        <v>216</v>
      </c>
      <c r="BI43" s="52">
        <f t="shared" si="16"/>
        <v>0</v>
      </c>
      <c r="BJ43" s="92">
        <f t="shared" si="17"/>
        <v>1944</v>
      </c>
      <c r="BK43" s="91">
        <f t="shared" si="18"/>
        <v>216</v>
      </c>
      <c r="BL43" s="91">
        <f t="shared" si="19"/>
        <v>0</v>
      </c>
      <c r="BM43" s="93">
        <f t="shared" si="20"/>
        <v>1944</v>
      </c>
      <c r="BN43" s="92">
        <f t="shared" si="81"/>
        <v>216</v>
      </c>
      <c r="BO43" s="92">
        <f t="shared" si="82"/>
        <v>0</v>
      </c>
      <c r="BP43" s="92">
        <f t="shared" si="83"/>
        <v>1944</v>
      </c>
      <c r="BQ43" s="91">
        <f t="shared" si="21"/>
        <v>180</v>
      </c>
      <c r="BR43" s="91">
        <f t="shared" si="22"/>
        <v>0</v>
      </c>
      <c r="BS43" s="93">
        <f t="shared" si="23"/>
        <v>1620</v>
      </c>
      <c r="BT43" s="91">
        <f t="shared" si="24"/>
        <v>216</v>
      </c>
      <c r="BU43" s="91">
        <f t="shared" si="25"/>
        <v>0</v>
      </c>
      <c r="BV43" s="94">
        <f t="shared" si="26"/>
        <v>1944</v>
      </c>
      <c r="BW43" s="52">
        <f t="shared" si="27"/>
        <v>216</v>
      </c>
      <c r="BX43" s="52">
        <f t="shared" si="28"/>
        <v>0</v>
      </c>
      <c r="BY43" s="90">
        <f t="shared" si="29"/>
        <v>1944</v>
      </c>
      <c r="BZ43" s="52">
        <f t="shared" si="30"/>
        <v>216</v>
      </c>
      <c r="CA43" s="52">
        <f t="shared" si="31"/>
        <v>0</v>
      </c>
      <c r="CB43" s="90">
        <f t="shared" si="32"/>
        <v>1944</v>
      </c>
      <c r="CC43" s="52">
        <f t="shared" si="33"/>
        <v>216</v>
      </c>
      <c r="CD43" s="52">
        <f t="shared" si="34"/>
        <v>0</v>
      </c>
      <c r="CE43" s="90">
        <f t="shared" si="35"/>
        <v>1944</v>
      </c>
      <c r="CF43" s="95">
        <f t="shared" si="36"/>
        <v>1</v>
      </c>
      <c r="CG43" s="97">
        <f t="shared" si="36"/>
        <v>0</v>
      </c>
      <c r="CH43" s="97">
        <f t="shared" si="36"/>
        <v>0</v>
      </c>
      <c r="CI43" s="97">
        <f t="shared" si="36"/>
        <v>0</v>
      </c>
      <c r="CJ43" s="97">
        <f t="shared" si="36"/>
        <v>1</v>
      </c>
      <c r="CK43" s="96">
        <f t="shared" si="37"/>
        <v>0</v>
      </c>
      <c r="CL43" s="96">
        <f t="shared" si="37"/>
        <v>5</v>
      </c>
      <c r="CM43" s="96">
        <f t="shared" si="37"/>
        <v>5</v>
      </c>
      <c r="CN43" s="96">
        <f t="shared" si="37"/>
        <v>5</v>
      </c>
      <c r="CO43" s="96">
        <f t="shared" si="37"/>
        <v>0</v>
      </c>
      <c r="CP43" s="96">
        <f t="shared" si="38"/>
        <v>0</v>
      </c>
      <c r="CQ43" s="96">
        <f t="shared" si="38"/>
        <v>6</v>
      </c>
      <c r="CR43" s="96">
        <f t="shared" si="38"/>
        <v>6</v>
      </c>
      <c r="CS43" s="96">
        <f t="shared" si="38"/>
        <v>6</v>
      </c>
      <c r="CT43" s="96">
        <f t="shared" si="38"/>
        <v>0</v>
      </c>
      <c r="CU43" s="96">
        <f t="shared" si="39"/>
        <v>0</v>
      </c>
      <c r="CV43" s="96">
        <f t="shared" si="39"/>
        <v>6</v>
      </c>
      <c r="CW43" s="96">
        <f t="shared" si="39"/>
        <v>6</v>
      </c>
      <c r="CX43" s="96">
        <f t="shared" si="39"/>
        <v>6</v>
      </c>
      <c r="CY43" s="96">
        <f t="shared" si="39"/>
        <v>0</v>
      </c>
      <c r="CZ43" s="96">
        <f t="shared" si="40"/>
        <v>0</v>
      </c>
      <c r="DA43" s="96">
        <f t="shared" si="40"/>
        <v>6</v>
      </c>
      <c r="DB43" s="96">
        <f t="shared" si="40"/>
        <v>6</v>
      </c>
      <c r="DC43" s="96">
        <f t="shared" si="40"/>
        <v>6</v>
      </c>
      <c r="DD43" s="96">
        <f t="shared" si="40"/>
        <v>0</v>
      </c>
      <c r="DE43" s="96">
        <f t="shared" si="84"/>
        <v>0</v>
      </c>
      <c r="DF43" s="96">
        <f t="shared" si="84"/>
        <v>6</v>
      </c>
      <c r="DG43" s="96">
        <f t="shared" si="84"/>
        <v>6</v>
      </c>
      <c r="DH43" s="96">
        <f t="shared" si="84"/>
        <v>6</v>
      </c>
      <c r="DI43" s="96">
        <f t="shared" si="84"/>
        <v>0</v>
      </c>
      <c r="DJ43" s="96">
        <f t="shared" si="41"/>
        <v>0</v>
      </c>
      <c r="DK43" s="96">
        <f t="shared" si="41"/>
        <v>6</v>
      </c>
      <c r="DL43" s="96">
        <f t="shared" si="41"/>
        <v>5</v>
      </c>
      <c r="DM43" s="96">
        <f t="shared" si="41"/>
        <v>6</v>
      </c>
      <c r="DN43" s="96">
        <f t="shared" si="41"/>
        <v>0</v>
      </c>
      <c r="DO43" s="96">
        <f t="shared" si="42"/>
        <v>0</v>
      </c>
      <c r="DP43" s="96">
        <f t="shared" si="42"/>
        <v>6</v>
      </c>
      <c r="DQ43" s="96">
        <f t="shared" si="42"/>
        <v>6</v>
      </c>
      <c r="DR43" s="96">
        <f t="shared" si="42"/>
        <v>6</v>
      </c>
      <c r="DS43" s="96">
        <f t="shared" si="42"/>
        <v>0</v>
      </c>
      <c r="DT43" s="96">
        <f t="shared" si="43"/>
        <v>0</v>
      </c>
      <c r="DU43" s="96">
        <f t="shared" si="43"/>
        <v>6</v>
      </c>
      <c r="DV43" s="96">
        <f t="shared" si="43"/>
        <v>6</v>
      </c>
      <c r="DW43" s="96">
        <f t="shared" si="43"/>
        <v>6</v>
      </c>
      <c r="DX43" s="96">
        <f t="shared" si="43"/>
        <v>0</v>
      </c>
      <c r="DY43" s="97">
        <f t="shared" si="44"/>
        <v>0</v>
      </c>
      <c r="DZ43" s="97">
        <f t="shared" si="44"/>
        <v>6</v>
      </c>
      <c r="EA43" s="97">
        <f t="shared" si="44"/>
        <v>6</v>
      </c>
      <c r="EB43" s="97">
        <f t="shared" si="44"/>
        <v>6</v>
      </c>
      <c r="EC43" s="97">
        <f t="shared" si="44"/>
        <v>0</v>
      </c>
      <c r="ED43" s="96">
        <f t="shared" si="45"/>
        <v>0</v>
      </c>
      <c r="EE43" s="96">
        <f t="shared" si="45"/>
        <v>6</v>
      </c>
      <c r="EF43" s="96">
        <f t="shared" si="45"/>
        <v>6</v>
      </c>
      <c r="EG43" s="96">
        <f t="shared" si="45"/>
        <v>6</v>
      </c>
      <c r="EH43" s="96">
        <f t="shared" si="45"/>
        <v>0</v>
      </c>
      <c r="EI43" s="96">
        <f t="shared" si="46"/>
        <v>0</v>
      </c>
      <c r="EJ43" s="96">
        <f t="shared" si="46"/>
        <v>0</v>
      </c>
      <c r="EK43" s="96">
        <f t="shared" si="46"/>
        <v>1</v>
      </c>
      <c r="EL43" s="96">
        <f t="shared" si="46"/>
        <v>0</v>
      </c>
      <c r="EM43" s="115">
        <f t="shared" si="46"/>
        <v>0</v>
      </c>
      <c r="EN43" s="98">
        <f t="shared" si="85"/>
        <v>1</v>
      </c>
      <c r="EO43" s="98">
        <f t="shared" si="85"/>
        <v>60</v>
      </c>
      <c r="EP43" s="98">
        <f t="shared" si="85"/>
        <v>60</v>
      </c>
      <c r="EQ43" s="98">
        <f t="shared" si="85"/>
        <v>60</v>
      </c>
      <c r="ER43" s="98">
        <f t="shared" si="85"/>
        <v>1</v>
      </c>
    </row>
    <row r="44" spans="1:148" ht="17" thickBot="1" x14ac:dyDescent="0.25">
      <c r="A44" s="19" t="s">
        <v>16</v>
      </c>
      <c r="B44" s="62">
        <v>6</v>
      </c>
      <c r="C44" s="62">
        <v>6</v>
      </c>
      <c r="D44" s="62">
        <v>6</v>
      </c>
      <c r="E44" s="62">
        <v>6</v>
      </c>
      <c r="F44" s="63">
        <v>6</v>
      </c>
      <c r="G44" s="21"/>
      <c r="I44" s="88">
        <f t="shared" si="86"/>
        <v>18</v>
      </c>
      <c r="J44" s="27">
        <v>1</v>
      </c>
      <c r="K44">
        <v>0</v>
      </c>
      <c r="L44">
        <v>0</v>
      </c>
      <c r="M44">
        <v>1</v>
      </c>
      <c r="N44">
        <v>0</v>
      </c>
      <c r="O44">
        <f t="shared" si="3"/>
        <v>5.3489904835390938E-3</v>
      </c>
      <c r="P44" s="74">
        <f t="shared" si="47"/>
        <v>2</v>
      </c>
      <c r="Q44" s="114">
        <f t="shared" si="48"/>
        <v>0.15580648148148149</v>
      </c>
      <c r="R44" s="89">
        <f t="shared" si="4"/>
        <v>0</v>
      </c>
      <c r="S44" s="52">
        <f t="shared" si="5"/>
        <v>0</v>
      </c>
      <c r="T44" s="90">
        <f t="shared" si="6"/>
        <v>0</v>
      </c>
      <c r="U44" s="89">
        <f t="shared" si="49"/>
        <v>2500</v>
      </c>
      <c r="V44" s="89">
        <f t="shared" si="50"/>
        <v>13750</v>
      </c>
      <c r="W44" s="89">
        <f t="shared" si="51"/>
        <v>0</v>
      </c>
      <c r="X44" s="89">
        <f t="shared" si="52"/>
        <v>1080</v>
      </c>
      <c r="Y44" s="89">
        <f t="shared" si="53"/>
        <v>5832</v>
      </c>
      <c r="Z44" s="89">
        <f t="shared" si="54"/>
        <v>0</v>
      </c>
      <c r="AA44" s="89">
        <f t="shared" si="55"/>
        <v>648</v>
      </c>
      <c r="AB44" s="89">
        <f t="shared" si="56"/>
        <v>3888</v>
      </c>
      <c r="AC44" s="89">
        <f t="shared" si="57"/>
        <v>0</v>
      </c>
      <c r="AD44" s="89">
        <f t="shared" si="58"/>
        <v>432</v>
      </c>
      <c r="AE44" s="89">
        <f t="shared" si="59"/>
        <v>1944</v>
      </c>
      <c r="AF44" s="89">
        <f t="shared" si="60"/>
        <v>0</v>
      </c>
      <c r="AG44" s="89">
        <f t="shared" si="61"/>
        <v>216</v>
      </c>
      <c r="AH44" s="89">
        <f t="shared" si="62"/>
        <v>972</v>
      </c>
      <c r="AI44" s="89">
        <f t="shared" si="63"/>
        <v>0</v>
      </c>
      <c r="AJ44" s="89">
        <f t="shared" si="64"/>
        <v>75</v>
      </c>
      <c r="AK44" s="89">
        <f t="shared" si="65"/>
        <v>330</v>
      </c>
      <c r="AL44" s="89">
        <f t="shared" si="66"/>
        <v>0</v>
      </c>
      <c r="AM44" s="89">
        <f t="shared" si="67"/>
        <v>108</v>
      </c>
      <c r="AN44" s="89">
        <f t="shared" si="68"/>
        <v>388.8</v>
      </c>
      <c r="AO44" s="89">
        <f t="shared" si="69"/>
        <v>0</v>
      </c>
      <c r="AP44" s="89">
        <f t="shared" si="70"/>
        <v>108</v>
      </c>
      <c r="AQ44" s="89">
        <f t="shared" si="71"/>
        <v>388.8</v>
      </c>
      <c r="AR44" s="89">
        <f t="shared" si="72"/>
        <v>0</v>
      </c>
      <c r="AS44" s="89">
        <f t="shared" si="73"/>
        <v>108</v>
      </c>
      <c r="AT44" s="89">
        <f t="shared" si="74"/>
        <v>388.8</v>
      </c>
      <c r="AU44" s="89">
        <f t="shared" si="75"/>
        <v>0</v>
      </c>
      <c r="AV44" s="89">
        <f t="shared" si="76"/>
        <v>108</v>
      </c>
      <c r="AW44" s="89">
        <f t="shared" si="77"/>
        <v>388.8</v>
      </c>
      <c r="AX44" s="89">
        <f t="shared" si="78"/>
        <v>0</v>
      </c>
      <c r="AY44" s="89">
        <f t="shared" si="79"/>
        <v>0</v>
      </c>
      <c r="AZ44" s="52">
        <f t="shared" si="8"/>
        <v>0</v>
      </c>
      <c r="BA44" s="90">
        <f t="shared" si="9"/>
        <v>0</v>
      </c>
      <c r="BB44" s="91">
        <f t="shared" si="80"/>
        <v>125</v>
      </c>
      <c r="BC44" s="91">
        <f t="shared" si="10"/>
        <v>1375</v>
      </c>
      <c r="BD44" s="91">
        <f t="shared" si="11"/>
        <v>0</v>
      </c>
      <c r="BE44" s="52">
        <f t="shared" si="12"/>
        <v>216</v>
      </c>
      <c r="BF44" s="52">
        <f t="shared" si="13"/>
        <v>1944</v>
      </c>
      <c r="BG44" s="90">
        <f t="shared" si="14"/>
        <v>0</v>
      </c>
      <c r="BH44" s="52">
        <f t="shared" si="15"/>
        <v>216</v>
      </c>
      <c r="BI44" s="52">
        <f t="shared" si="16"/>
        <v>1944</v>
      </c>
      <c r="BJ44" s="92">
        <f t="shared" si="17"/>
        <v>0</v>
      </c>
      <c r="BK44" s="91">
        <f t="shared" si="18"/>
        <v>216</v>
      </c>
      <c r="BL44" s="91">
        <f t="shared" si="19"/>
        <v>1944</v>
      </c>
      <c r="BM44" s="93">
        <f t="shared" si="20"/>
        <v>0</v>
      </c>
      <c r="BN44" s="92">
        <f t="shared" si="81"/>
        <v>216</v>
      </c>
      <c r="BO44" s="92">
        <f t="shared" si="82"/>
        <v>1944</v>
      </c>
      <c r="BP44" s="92">
        <f t="shared" si="83"/>
        <v>0</v>
      </c>
      <c r="BQ44" s="91">
        <f t="shared" si="21"/>
        <v>150</v>
      </c>
      <c r="BR44" s="91">
        <f t="shared" si="22"/>
        <v>1650</v>
      </c>
      <c r="BS44" s="93">
        <f t="shared" si="23"/>
        <v>0</v>
      </c>
      <c r="BT44" s="91">
        <f t="shared" si="24"/>
        <v>216</v>
      </c>
      <c r="BU44" s="91">
        <f t="shared" si="25"/>
        <v>1944</v>
      </c>
      <c r="BV44" s="94">
        <f t="shared" si="26"/>
        <v>0</v>
      </c>
      <c r="BW44" s="52">
        <f t="shared" si="27"/>
        <v>216</v>
      </c>
      <c r="BX44" s="52">
        <f t="shared" si="28"/>
        <v>1944</v>
      </c>
      <c r="BY44" s="90">
        <f t="shared" si="29"/>
        <v>0</v>
      </c>
      <c r="BZ44" s="52">
        <f t="shared" si="30"/>
        <v>216</v>
      </c>
      <c r="CA44" s="52">
        <f t="shared" si="31"/>
        <v>1944</v>
      </c>
      <c r="CB44" s="90">
        <f t="shared" si="32"/>
        <v>0</v>
      </c>
      <c r="CC44" s="52">
        <f t="shared" si="33"/>
        <v>216</v>
      </c>
      <c r="CD44" s="52">
        <f t="shared" si="34"/>
        <v>1944</v>
      </c>
      <c r="CE44" s="90">
        <f t="shared" si="35"/>
        <v>0</v>
      </c>
      <c r="CF44" s="95">
        <f t="shared" si="36"/>
        <v>1</v>
      </c>
      <c r="CG44" s="97">
        <f t="shared" si="36"/>
        <v>0</v>
      </c>
      <c r="CH44" s="97">
        <f t="shared" si="36"/>
        <v>0</v>
      </c>
      <c r="CI44" s="97">
        <f t="shared" si="36"/>
        <v>1</v>
      </c>
      <c r="CJ44" s="97">
        <f t="shared" si="36"/>
        <v>0</v>
      </c>
      <c r="CK44" s="96">
        <f t="shared" si="37"/>
        <v>0</v>
      </c>
      <c r="CL44" s="96">
        <f t="shared" si="37"/>
        <v>5</v>
      </c>
      <c r="CM44" s="96">
        <f t="shared" si="37"/>
        <v>5</v>
      </c>
      <c r="CN44" s="96">
        <f t="shared" si="37"/>
        <v>0</v>
      </c>
      <c r="CO44" s="96">
        <f t="shared" si="37"/>
        <v>5</v>
      </c>
      <c r="CP44" s="96">
        <f t="shared" si="38"/>
        <v>0</v>
      </c>
      <c r="CQ44" s="96">
        <f t="shared" si="38"/>
        <v>6</v>
      </c>
      <c r="CR44" s="96">
        <f t="shared" si="38"/>
        <v>6</v>
      </c>
      <c r="CS44" s="96">
        <f t="shared" si="38"/>
        <v>0</v>
      </c>
      <c r="CT44" s="96">
        <f t="shared" si="38"/>
        <v>6</v>
      </c>
      <c r="CU44" s="96">
        <f t="shared" si="39"/>
        <v>0</v>
      </c>
      <c r="CV44" s="96">
        <f t="shared" si="39"/>
        <v>6</v>
      </c>
      <c r="CW44" s="96">
        <f t="shared" si="39"/>
        <v>6</v>
      </c>
      <c r="CX44" s="96">
        <f t="shared" si="39"/>
        <v>0</v>
      </c>
      <c r="CY44" s="96">
        <f t="shared" si="39"/>
        <v>6</v>
      </c>
      <c r="CZ44" s="96">
        <f t="shared" si="40"/>
        <v>0</v>
      </c>
      <c r="DA44" s="96">
        <f t="shared" si="40"/>
        <v>6</v>
      </c>
      <c r="DB44" s="96">
        <f t="shared" si="40"/>
        <v>6</v>
      </c>
      <c r="DC44" s="96">
        <f t="shared" si="40"/>
        <v>0</v>
      </c>
      <c r="DD44" s="96">
        <f t="shared" si="40"/>
        <v>6</v>
      </c>
      <c r="DE44" s="96">
        <f t="shared" si="84"/>
        <v>0</v>
      </c>
      <c r="DF44" s="96">
        <f t="shared" si="84"/>
        <v>6</v>
      </c>
      <c r="DG44" s="96">
        <f t="shared" si="84"/>
        <v>6</v>
      </c>
      <c r="DH44" s="96">
        <f t="shared" si="84"/>
        <v>0</v>
      </c>
      <c r="DI44" s="96">
        <f t="shared" si="84"/>
        <v>6</v>
      </c>
      <c r="DJ44" s="96">
        <f t="shared" si="41"/>
        <v>0</v>
      </c>
      <c r="DK44" s="96">
        <f t="shared" si="41"/>
        <v>6</v>
      </c>
      <c r="DL44" s="96">
        <f t="shared" si="41"/>
        <v>5</v>
      </c>
      <c r="DM44" s="96">
        <f t="shared" si="41"/>
        <v>0</v>
      </c>
      <c r="DN44" s="96">
        <f t="shared" si="41"/>
        <v>5</v>
      </c>
      <c r="DO44" s="96">
        <f t="shared" si="42"/>
        <v>0</v>
      </c>
      <c r="DP44" s="96">
        <f t="shared" si="42"/>
        <v>6</v>
      </c>
      <c r="DQ44" s="96">
        <f t="shared" si="42"/>
        <v>6</v>
      </c>
      <c r="DR44" s="96">
        <f t="shared" si="42"/>
        <v>0</v>
      </c>
      <c r="DS44" s="96">
        <f t="shared" si="42"/>
        <v>6</v>
      </c>
      <c r="DT44" s="96">
        <f t="shared" si="43"/>
        <v>0</v>
      </c>
      <c r="DU44" s="96">
        <f t="shared" si="43"/>
        <v>6</v>
      </c>
      <c r="DV44" s="96">
        <f t="shared" si="43"/>
        <v>6</v>
      </c>
      <c r="DW44" s="96">
        <f t="shared" si="43"/>
        <v>0</v>
      </c>
      <c r="DX44" s="96">
        <f t="shared" si="43"/>
        <v>6</v>
      </c>
      <c r="DY44" s="97">
        <f t="shared" si="44"/>
        <v>0</v>
      </c>
      <c r="DZ44" s="97">
        <f t="shared" si="44"/>
        <v>6</v>
      </c>
      <c r="EA44" s="97">
        <f t="shared" si="44"/>
        <v>6</v>
      </c>
      <c r="EB44" s="97">
        <f t="shared" si="44"/>
        <v>0</v>
      </c>
      <c r="EC44" s="97">
        <f t="shared" si="44"/>
        <v>6</v>
      </c>
      <c r="ED44" s="96">
        <f t="shared" si="45"/>
        <v>0</v>
      </c>
      <c r="EE44" s="96">
        <f t="shared" si="45"/>
        <v>6</v>
      </c>
      <c r="EF44" s="96">
        <f t="shared" si="45"/>
        <v>6</v>
      </c>
      <c r="EG44" s="96">
        <f t="shared" si="45"/>
        <v>0</v>
      </c>
      <c r="EH44" s="96">
        <f t="shared" si="45"/>
        <v>6</v>
      </c>
      <c r="EI44" s="96">
        <f t="shared" si="46"/>
        <v>0</v>
      </c>
      <c r="EJ44" s="96">
        <f t="shared" si="46"/>
        <v>0</v>
      </c>
      <c r="EK44" s="96">
        <f t="shared" si="46"/>
        <v>1</v>
      </c>
      <c r="EL44" s="96">
        <f t="shared" si="46"/>
        <v>0</v>
      </c>
      <c r="EM44" s="115">
        <f t="shared" si="46"/>
        <v>1</v>
      </c>
      <c r="EN44" s="98">
        <f t="shared" si="85"/>
        <v>1</v>
      </c>
      <c r="EO44" s="98">
        <f t="shared" si="85"/>
        <v>60</v>
      </c>
      <c r="EP44" s="98">
        <f t="shared" si="85"/>
        <v>60</v>
      </c>
      <c r="EQ44" s="98">
        <f t="shared" si="85"/>
        <v>1</v>
      </c>
      <c r="ER44" s="98">
        <f t="shared" si="85"/>
        <v>60</v>
      </c>
    </row>
    <row r="45" spans="1:148" ht="17" thickBot="1" x14ac:dyDescent="0.25">
      <c r="A45" s="19" t="s">
        <v>17</v>
      </c>
      <c r="B45" s="62">
        <v>6</v>
      </c>
      <c r="C45" s="62">
        <v>6</v>
      </c>
      <c r="D45" s="62">
        <v>6</v>
      </c>
      <c r="E45" s="62">
        <v>6</v>
      </c>
      <c r="F45" s="63">
        <v>6</v>
      </c>
      <c r="G45" s="21"/>
      <c r="I45" s="88">
        <f t="shared" si="86"/>
        <v>19</v>
      </c>
      <c r="J45" s="27">
        <v>1</v>
      </c>
      <c r="K45">
        <v>0</v>
      </c>
      <c r="L45">
        <v>0</v>
      </c>
      <c r="M45">
        <v>1</v>
      </c>
      <c r="N45">
        <v>1</v>
      </c>
      <c r="O45">
        <f t="shared" si="3"/>
        <v>4.862718621399176E-4</v>
      </c>
      <c r="P45" s="74">
        <f t="shared" si="47"/>
        <v>3</v>
      </c>
      <c r="Q45" s="114">
        <f t="shared" si="48"/>
        <v>0.27305555555555555</v>
      </c>
      <c r="R45" s="89">
        <f t="shared" si="4"/>
        <v>0</v>
      </c>
      <c r="S45" s="52">
        <f t="shared" si="5"/>
        <v>0</v>
      </c>
      <c r="T45" s="90">
        <f t="shared" si="6"/>
        <v>0</v>
      </c>
      <c r="U45" s="89">
        <f t="shared" si="49"/>
        <v>500</v>
      </c>
      <c r="V45" s="89">
        <f t="shared" si="50"/>
        <v>0</v>
      </c>
      <c r="W45" s="89">
        <f t="shared" si="51"/>
        <v>0</v>
      </c>
      <c r="X45" s="89">
        <f t="shared" si="52"/>
        <v>180</v>
      </c>
      <c r="Y45" s="89">
        <f t="shared" si="53"/>
        <v>0</v>
      </c>
      <c r="Z45" s="89">
        <f t="shared" si="54"/>
        <v>0</v>
      </c>
      <c r="AA45" s="89">
        <f t="shared" si="55"/>
        <v>108</v>
      </c>
      <c r="AB45" s="89">
        <f t="shared" si="56"/>
        <v>0</v>
      </c>
      <c r="AC45" s="89">
        <f t="shared" si="57"/>
        <v>0</v>
      </c>
      <c r="AD45" s="89">
        <f t="shared" si="58"/>
        <v>72</v>
      </c>
      <c r="AE45" s="89">
        <f t="shared" si="59"/>
        <v>0</v>
      </c>
      <c r="AF45" s="89">
        <f t="shared" si="60"/>
        <v>0</v>
      </c>
      <c r="AG45" s="89">
        <f t="shared" si="61"/>
        <v>36</v>
      </c>
      <c r="AH45" s="89">
        <f t="shared" si="62"/>
        <v>0</v>
      </c>
      <c r="AI45" s="89">
        <f t="shared" si="63"/>
        <v>0</v>
      </c>
      <c r="AJ45" s="89">
        <f t="shared" si="64"/>
        <v>15</v>
      </c>
      <c r="AK45" s="89">
        <f t="shared" si="65"/>
        <v>0</v>
      </c>
      <c r="AL45" s="89">
        <f t="shared" si="66"/>
        <v>0</v>
      </c>
      <c r="AM45" s="89">
        <f t="shared" si="67"/>
        <v>18</v>
      </c>
      <c r="AN45" s="89">
        <f t="shared" si="68"/>
        <v>0</v>
      </c>
      <c r="AO45" s="89">
        <f t="shared" si="69"/>
        <v>0</v>
      </c>
      <c r="AP45" s="89">
        <f t="shared" si="70"/>
        <v>18</v>
      </c>
      <c r="AQ45" s="89">
        <f t="shared" si="71"/>
        <v>0</v>
      </c>
      <c r="AR45" s="89">
        <f t="shared" si="72"/>
        <v>0</v>
      </c>
      <c r="AS45" s="89">
        <f t="shared" si="73"/>
        <v>18</v>
      </c>
      <c r="AT45" s="89">
        <f t="shared" si="74"/>
        <v>0</v>
      </c>
      <c r="AU45" s="89">
        <f t="shared" si="75"/>
        <v>0</v>
      </c>
      <c r="AV45" s="89">
        <f t="shared" si="76"/>
        <v>18</v>
      </c>
      <c r="AW45" s="89">
        <f t="shared" si="77"/>
        <v>0</v>
      </c>
      <c r="AX45" s="89">
        <f t="shared" si="78"/>
        <v>0</v>
      </c>
      <c r="AY45" s="89">
        <f t="shared" si="79"/>
        <v>0</v>
      </c>
      <c r="AZ45" s="52">
        <f t="shared" si="8"/>
        <v>0</v>
      </c>
      <c r="BA45" s="90">
        <f t="shared" si="9"/>
        <v>0</v>
      </c>
      <c r="BB45" s="91">
        <f t="shared" si="80"/>
        <v>25</v>
      </c>
      <c r="BC45" s="91">
        <f t="shared" si="10"/>
        <v>0</v>
      </c>
      <c r="BD45" s="91">
        <f t="shared" si="11"/>
        <v>0</v>
      </c>
      <c r="BE45" s="52">
        <f t="shared" si="12"/>
        <v>36</v>
      </c>
      <c r="BF45" s="52">
        <f t="shared" si="13"/>
        <v>0</v>
      </c>
      <c r="BG45" s="90">
        <f t="shared" si="14"/>
        <v>0</v>
      </c>
      <c r="BH45" s="52">
        <f t="shared" si="15"/>
        <v>36</v>
      </c>
      <c r="BI45" s="52">
        <f t="shared" si="16"/>
        <v>0</v>
      </c>
      <c r="BJ45" s="92">
        <f t="shared" si="17"/>
        <v>0</v>
      </c>
      <c r="BK45" s="91">
        <f t="shared" si="18"/>
        <v>36</v>
      </c>
      <c r="BL45" s="91">
        <f t="shared" si="19"/>
        <v>0</v>
      </c>
      <c r="BM45" s="93">
        <f t="shared" si="20"/>
        <v>0</v>
      </c>
      <c r="BN45" s="92">
        <f t="shared" si="81"/>
        <v>36</v>
      </c>
      <c r="BO45" s="92">
        <f t="shared" si="82"/>
        <v>0</v>
      </c>
      <c r="BP45" s="92">
        <f t="shared" si="83"/>
        <v>0</v>
      </c>
      <c r="BQ45" s="91">
        <f t="shared" si="21"/>
        <v>30</v>
      </c>
      <c r="BR45" s="91">
        <f t="shared" si="22"/>
        <v>0</v>
      </c>
      <c r="BS45" s="93">
        <f t="shared" si="23"/>
        <v>0</v>
      </c>
      <c r="BT45" s="91">
        <f t="shared" si="24"/>
        <v>36</v>
      </c>
      <c r="BU45" s="91">
        <f t="shared" si="25"/>
        <v>0</v>
      </c>
      <c r="BV45" s="94">
        <f t="shared" si="26"/>
        <v>0</v>
      </c>
      <c r="BW45" s="52">
        <f t="shared" si="27"/>
        <v>36</v>
      </c>
      <c r="BX45" s="52">
        <f t="shared" si="28"/>
        <v>0</v>
      </c>
      <c r="BY45" s="90">
        <f t="shared" si="29"/>
        <v>0</v>
      </c>
      <c r="BZ45" s="52">
        <f t="shared" si="30"/>
        <v>36</v>
      </c>
      <c r="CA45" s="52">
        <f t="shared" si="31"/>
        <v>0</v>
      </c>
      <c r="CB45" s="90">
        <f t="shared" si="32"/>
        <v>0</v>
      </c>
      <c r="CC45" s="52">
        <f t="shared" si="33"/>
        <v>36</v>
      </c>
      <c r="CD45" s="52">
        <f t="shared" si="34"/>
        <v>0</v>
      </c>
      <c r="CE45" s="90">
        <f t="shared" si="35"/>
        <v>0</v>
      </c>
      <c r="CF45" s="95">
        <f t="shared" si="36"/>
        <v>1</v>
      </c>
      <c r="CG45" s="97">
        <f t="shared" si="36"/>
        <v>0</v>
      </c>
      <c r="CH45" s="97">
        <f t="shared" si="36"/>
        <v>0</v>
      </c>
      <c r="CI45" s="97">
        <f t="shared" si="36"/>
        <v>1</v>
      </c>
      <c r="CJ45" s="97">
        <f t="shared" si="36"/>
        <v>1</v>
      </c>
      <c r="CK45" s="96">
        <f t="shared" si="37"/>
        <v>0</v>
      </c>
      <c r="CL45" s="96">
        <f t="shared" si="37"/>
        <v>5</v>
      </c>
      <c r="CM45" s="96">
        <f t="shared" si="37"/>
        <v>5</v>
      </c>
      <c r="CN45" s="96">
        <f t="shared" si="37"/>
        <v>0</v>
      </c>
      <c r="CO45" s="96">
        <f t="shared" si="37"/>
        <v>0</v>
      </c>
      <c r="CP45" s="96">
        <f t="shared" si="38"/>
        <v>0</v>
      </c>
      <c r="CQ45" s="96">
        <f t="shared" si="38"/>
        <v>6</v>
      </c>
      <c r="CR45" s="96">
        <f t="shared" si="38"/>
        <v>6</v>
      </c>
      <c r="CS45" s="96">
        <f t="shared" si="38"/>
        <v>0</v>
      </c>
      <c r="CT45" s="96">
        <f t="shared" si="38"/>
        <v>0</v>
      </c>
      <c r="CU45" s="96">
        <f t="shared" si="39"/>
        <v>0</v>
      </c>
      <c r="CV45" s="96">
        <f t="shared" si="39"/>
        <v>6</v>
      </c>
      <c r="CW45" s="96">
        <f t="shared" si="39"/>
        <v>6</v>
      </c>
      <c r="CX45" s="96">
        <f t="shared" si="39"/>
        <v>0</v>
      </c>
      <c r="CY45" s="96">
        <f t="shared" si="39"/>
        <v>0</v>
      </c>
      <c r="CZ45" s="96">
        <f t="shared" si="40"/>
        <v>0</v>
      </c>
      <c r="DA45" s="96">
        <f t="shared" si="40"/>
        <v>6</v>
      </c>
      <c r="DB45" s="96">
        <f t="shared" si="40"/>
        <v>6</v>
      </c>
      <c r="DC45" s="96">
        <f t="shared" si="40"/>
        <v>0</v>
      </c>
      <c r="DD45" s="96">
        <f t="shared" si="40"/>
        <v>0</v>
      </c>
      <c r="DE45" s="96">
        <f t="shared" si="84"/>
        <v>0</v>
      </c>
      <c r="DF45" s="96">
        <f t="shared" si="84"/>
        <v>6</v>
      </c>
      <c r="DG45" s="96">
        <f t="shared" si="84"/>
        <v>6</v>
      </c>
      <c r="DH45" s="96">
        <f t="shared" si="84"/>
        <v>0</v>
      </c>
      <c r="DI45" s="96">
        <f t="shared" si="84"/>
        <v>0</v>
      </c>
      <c r="DJ45" s="96">
        <f t="shared" si="41"/>
        <v>0</v>
      </c>
      <c r="DK45" s="96">
        <f t="shared" si="41"/>
        <v>6</v>
      </c>
      <c r="DL45" s="96">
        <f t="shared" si="41"/>
        <v>5</v>
      </c>
      <c r="DM45" s="96">
        <f t="shared" si="41"/>
        <v>0</v>
      </c>
      <c r="DN45" s="96">
        <f t="shared" si="41"/>
        <v>0</v>
      </c>
      <c r="DO45" s="96">
        <f t="shared" si="42"/>
        <v>0</v>
      </c>
      <c r="DP45" s="96">
        <f t="shared" si="42"/>
        <v>6</v>
      </c>
      <c r="DQ45" s="96">
        <f t="shared" si="42"/>
        <v>6</v>
      </c>
      <c r="DR45" s="96">
        <f t="shared" si="42"/>
        <v>0</v>
      </c>
      <c r="DS45" s="96">
        <f t="shared" si="42"/>
        <v>0</v>
      </c>
      <c r="DT45" s="96">
        <f t="shared" si="43"/>
        <v>0</v>
      </c>
      <c r="DU45" s="96">
        <f t="shared" si="43"/>
        <v>6</v>
      </c>
      <c r="DV45" s="96">
        <f t="shared" si="43"/>
        <v>6</v>
      </c>
      <c r="DW45" s="96">
        <f t="shared" si="43"/>
        <v>0</v>
      </c>
      <c r="DX45" s="96">
        <f t="shared" si="43"/>
        <v>0</v>
      </c>
      <c r="DY45" s="97">
        <f t="shared" si="44"/>
        <v>0</v>
      </c>
      <c r="DZ45" s="97">
        <f t="shared" si="44"/>
        <v>6</v>
      </c>
      <c r="EA45" s="97">
        <f t="shared" si="44"/>
        <v>6</v>
      </c>
      <c r="EB45" s="97">
        <f t="shared" si="44"/>
        <v>0</v>
      </c>
      <c r="EC45" s="97">
        <f t="shared" si="44"/>
        <v>0</v>
      </c>
      <c r="ED45" s="96">
        <f t="shared" si="45"/>
        <v>0</v>
      </c>
      <c r="EE45" s="96">
        <f t="shared" si="45"/>
        <v>6</v>
      </c>
      <c r="EF45" s="96">
        <f t="shared" si="45"/>
        <v>6</v>
      </c>
      <c r="EG45" s="96">
        <f t="shared" si="45"/>
        <v>0</v>
      </c>
      <c r="EH45" s="96">
        <f t="shared" si="45"/>
        <v>0</v>
      </c>
      <c r="EI45" s="96">
        <f t="shared" si="46"/>
        <v>0</v>
      </c>
      <c r="EJ45" s="96">
        <f t="shared" si="46"/>
        <v>0</v>
      </c>
      <c r="EK45" s="96">
        <f t="shared" si="46"/>
        <v>1</v>
      </c>
      <c r="EL45" s="96">
        <f t="shared" si="46"/>
        <v>0</v>
      </c>
      <c r="EM45" s="115">
        <f t="shared" si="46"/>
        <v>0</v>
      </c>
      <c r="EN45" s="98">
        <f t="shared" si="85"/>
        <v>1</v>
      </c>
      <c r="EO45" s="98">
        <f t="shared" si="85"/>
        <v>60</v>
      </c>
      <c r="EP45" s="98">
        <f t="shared" si="85"/>
        <v>60</v>
      </c>
      <c r="EQ45" s="98">
        <f t="shared" si="85"/>
        <v>1</v>
      </c>
      <c r="ER45" s="98">
        <f t="shared" si="85"/>
        <v>1</v>
      </c>
    </row>
    <row r="46" spans="1:148" ht="17" thickBot="1" x14ac:dyDescent="0.25">
      <c r="A46" s="19" t="s">
        <v>19</v>
      </c>
      <c r="B46" s="62">
        <v>6</v>
      </c>
      <c r="C46" s="62">
        <v>6</v>
      </c>
      <c r="D46" s="62">
        <v>6</v>
      </c>
      <c r="E46" s="62">
        <v>6</v>
      </c>
      <c r="F46" s="63">
        <v>6</v>
      </c>
      <c r="G46" s="21"/>
      <c r="I46" s="88">
        <f t="shared" si="86"/>
        <v>20</v>
      </c>
      <c r="J46" s="27">
        <v>1</v>
      </c>
      <c r="K46">
        <v>0</v>
      </c>
      <c r="L46">
        <v>1</v>
      </c>
      <c r="M46">
        <v>0</v>
      </c>
      <c r="N46">
        <v>0</v>
      </c>
      <c r="O46">
        <f t="shared" si="3"/>
        <v>5.3489904835390938E-3</v>
      </c>
      <c r="P46" s="74">
        <f t="shared" si="47"/>
        <v>2</v>
      </c>
      <c r="Q46" s="114">
        <f t="shared" si="48"/>
        <v>0.91612592592592568</v>
      </c>
      <c r="R46" s="89">
        <f t="shared" si="4"/>
        <v>0</v>
      </c>
      <c r="S46" s="52">
        <f t="shared" si="5"/>
        <v>0</v>
      </c>
      <c r="T46" s="90">
        <f t="shared" si="6"/>
        <v>0</v>
      </c>
      <c r="U46" s="89">
        <f t="shared" si="49"/>
        <v>2500</v>
      </c>
      <c r="V46" s="89">
        <f t="shared" si="50"/>
        <v>13750</v>
      </c>
      <c r="W46" s="89">
        <f t="shared" si="51"/>
        <v>82500</v>
      </c>
      <c r="X46" s="89">
        <f t="shared" si="52"/>
        <v>1080</v>
      </c>
      <c r="Y46" s="89">
        <f t="shared" si="53"/>
        <v>5832</v>
      </c>
      <c r="Z46" s="89">
        <f t="shared" si="54"/>
        <v>38880</v>
      </c>
      <c r="AA46" s="89">
        <f t="shared" si="55"/>
        <v>648</v>
      </c>
      <c r="AB46" s="89">
        <f t="shared" si="56"/>
        <v>3888</v>
      </c>
      <c r="AC46" s="89">
        <f t="shared" si="57"/>
        <v>19440</v>
      </c>
      <c r="AD46" s="89">
        <f t="shared" si="58"/>
        <v>432</v>
      </c>
      <c r="AE46" s="89">
        <f t="shared" si="59"/>
        <v>1944</v>
      </c>
      <c r="AF46" s="89">
        <f t="shared" si="60"/>
        <v>9720</v>
      </c>
      <c r="AG46" s="89">
        <f t="shared" si="61"/>
        <v>216</v>
      </c>
      <c r="AH46" s="89">
        <f t="shared" si="62"/>
        <v>972</v>
      </c>
      <c r="AI46" s="89">
        <f t="shared" si="63"/>
        <v>3888</v>
      </c>
      <c r="AJ46" s="89">
        <f t="shared" si="64"/>
        <v>90</v>
      </c>
      <c r="AK46" s="89">
        <f t="shared" si="65"/>
        <v>396</v>
      </c>
      <c r="AL46" s="89">
        <f t="shared" si="66"/>
        <v>1944</v>
      </c>
      <c r="AM46" s="89">
        <f t="shared" si="67"/>
        <v>108</v>
      </c>
      <c r="AN46" s="89">
        <f t="shared" si="68"/>
        <v>388.8</v>
      </c>
      <c r="AO46" s="89">
        <f t="shared" si="69"/>
        <v>1944</v>
      </c>
      <c r="AP46" s="89">
        <f t="shared" si="70"/>
        <v>108</v>
      </c>
      <c r="AQ46" s="89">
        <f t="shared" si="71"/>
        <v>388.8</v>
      </c>
      <c r="AR46" s="89">
        <f t="shared" si="72"/>
        <v>1944</v>
      </c>
      <c r="AS46" s="89">
        <f t="shared" si="73"/>
        <v>108</v>
      </c>
      <c r="AT46" s="89">
        <f t="shared" si="74"/>
        <v>388.8</v>
      </c>
      <c r="AU46" s="89">
        <f t="shared" si="75"/>
        <v>1944</v>
      </c>
      <c r="AV46" s="89">
        <f t="shared" si="76"/>
        <v>108</v>
      </c>
      <c r="AW46" s="89">
        <f t="shared" si="77"/>
        <v>388.8</v>
      </c>
      <c r="AX46" s="89">
        <f t="shared" si="78"/>
        <v>1944</v>
      </c>
      <c r="AY46" s="89">
        <f t="shared" si="79"/>
        <v>0</v>
      </c>
      <c r="AZ46" s="52">
        <f t="shared" si="8"/>
        <v>0</v>
      </c>
      <c r="BA46" s="90">
        <f t="shared" si="9"/>
        <v>0</v>
      </c>
      <c r="BB46" s="91">
        <f t="shared" si="80"/>
        <v>125</v>
      </c>
      <c r="BC46" s="91">
        <f t="shared" si="10"/>
        <v>1375</v>
      </c>
      <c r="BD46" s="91">
        <f t="shared" si="11"/>
        <v>16500</v>
      </c>
      <c r="BE46" s="52">
        <f t="shared" si="12"/>
        <v>216</v>
      </c>
      <c r="BF46" s="52">
        <f t="shared" si="13"/>
        <v>1944</v>
      </c>
      <c r="BG46" s="90">
        <f t="shared" si="14"/>
        <v>19440</v>
      </c>
      <c r="BH46" s="52">
        <f t="shared" si="15"/>
        <v>216</v>
      </c>
      <c r="BI46" s="52">
        <f t="shared" si="16"/>
        <v>1944</v>
      </c>
      <c r="BJ46" s="92">
        <f t="shared" si="17"/>
        <v>19440</v>
      </c>
      <c r="BK46" s="91">
        <f t="shared" si="18"/>
        <v>216</v>
      </c>
      <c r="BL46" s="91">
        <f t="shared" si="19"/>
        <v>1944</v>
      </c>
      <c r="BM46" s="93">
        <f t="shared" si="20"/>
        <v>19440</v>
      </c>
      <c r="BN46" s="92">
        <f t="shared" si="81"/>
        <v>216</v>
      </c>
      <c r="BO46" s="92">
        <f t="shared" si="82"/>
        <v>1944</v>
      </c>
      <c r="BP46" s="92">
        <f t="shared" si="83"/>
        <v>19440</v>
      </c>
      <c r="BQ46" s="91">
        <f t="shared" si="21"/>
        <v>180</v>
      </c>
      <c r="BR46" s="91">
        <f t="shared" si="22"/>
        <v>1980</v>
      </c>
      <c r="BS46" s="93">
        <f t="shared" si="23"/>
        <v>19440</v>
      </c>
      <c r="BT46" s="91">
        <f t="shared" si="24"/>
        <v>216</v>
      </c>
      <c r="BU46" s="91">
        <f t="shared" si="25"/>
        <v>1944</v>
      </c>
      <c r="BV46" s="94">
        <f t="shared" si="26"/>
        <v>19440</v>
      </c>
      <c r="BW46" s="52">
        <f t="shared" si="27"/>
        <v>216</v>
      </c>
      <c r="BX46" s="52">
        <f t="shared" si="28"/>
        <v>1944</v>
      </c>
      <c r="BY46" s="90">
        <f t="shared" si="29"/>
        <v>19440</v>
      </c>
      <c r="BZ46" s="52">
        <f t="shared" si="30"/>
        <v>216</v>
      </c>
      <c r="CA46" s="52">
        <f t="shared" si="31"/>
        <v>1944</v>
      </c>
      <c r="CB46" s="90">
        <f t="shared" si="32"/>
        <v>19440</v>
      </c>
      <c r="CC46" s="52">
        <f t="shared" si="33"/>
        <v>216</v>
      </c>
      <c r="CD46" s="52">
        <f t="shared" si="34"/>
        <v>1944</v>
      </c>
      <c r="CE46" s="90">
        <f t="shared" si="35"/>
        <v>19440</v>
      </c>
      <c r="CF46" s="95">
        <f t="shared" si="36"/>
        <v>1</v>
      </c>
      <c r="CG46" s="97">
        <f t="shared" si="36"/>
        <v>0</v>
      </c>
      <c r="CH46" s="97">
        <f t="shared" si="36"/>
        <v>1</v>
      </c>
      <c r="CI46" s="97">
        <f t="shared" si="36"/>
        <v>0</v>
      </c>
      <c r="CJ46" s="97">
        <f t="shared" si="36"/>
        <v>0</v>
      </c>
      <c r="CK46" s="96">
        <f t="shared" si="37"/>
        <v>0</v>
      </c>
      <c r="CL46" s="96">
        <f t="shared" si="37"/>
        <v>5</v>
      </c>
      <c r="CM46" s="96">
        <f t="shared" si="37"/>
        <v>0</v>
      </c>
      <c r="CN46" s="96">
        <f t="shared" si="37"/>
        <v>5</v>
      </c>
      <c r="CO46" s="96">
        <f t="shared" si="37"/>
        <v>5</v>
      </c>
      <c r="CP46" s="96">
        <f t="shared" si="38"/>
        <v>0</v>
      </c>
      <c r="CQ46" s="96">
        <f t="shared" si="38"/>
        <v>6</v>
      </c>
      <c r="CR46" s="96">
        <f t="shared" si="38"/>
        <v>0</v>
      </c>
      <c r="CS46" s="96">
        <f t="shared" si="38"/>
        <v>6</v>
      </c>
      <c r="CT46" s="96">
        <f t="shared" si="38"/>
        <v>6</v>
      </c>
      <c r="CU46" s="96">
        <f t="shared" si="39"/>
        <v>0</v>
      </c>
      <c r="CV46" s="96">
        <f t="shared" si="39"/>
        <v>6</v>
      </c>
      <c r="CW46" s="96">
        <f t="shared" si="39"/>
        <v>0</v>
      </c>
      <c r="CX46" s="96">
        <f t="shared" si="39"/>
        <v>6</v>
      </c>
      <c r="CY46" s="96">
        <f t="shared" si="39"/>
        <v>6</v>
      </c>
      <c r="CZ46" s="96">
        <f t="shared" si="40"/>
        <v>0</v>
      </c>
      <c r="DA46" s="96">
        <f t="shared" si="40"/>
        <v>6</v>
      </c>
      <c r="DB46" s="96">
        <f t="shared" si="40"/>
        <v>0</v>
      </c>
      <c r="DC46" s="96">
        <f t="shared" si="40"/>
        <v>6</v>
      </c>
      <c r="DD46" s="96">
        <f t="shared" si="40"/>
        <v>6</v>
      </c>
      <c r="DE46" s="96">
        <f t="shared" si="84"/>
        <v>0</v>
      </c>
      <c r="DF46" s="96">
        <f t="shared" si="84"/>
        <v>6</v>
      </c>
      <c r="DG46" s="96">
        <f t="shared" si="84"/>
        <v>0</v>
      </c>
      <c r="DH46" s="96">
        <f t="shared" si="84"/>
        <v>6</v>
      </c>
      <c r="DI46" s="96">
        <f t="shared" si="84"/>
        <v>6</v>
      </c>
      <c r="DJ46" s="96">
        <f t="shared" si="41"/>
        <v>0</v>
      </c>
      <c r="DK46" s="96">
        <f t="shared" si="41"/>
        <v>6</v>
      </c>
      <c r="DL46" s="96">
        <f t="shared" si="41"/>
        <v>0</v>
      </c>
      <c r="DM46" s="96">
        <f t="shared" si="41"/>
        <v>6</v>
      </c>
      <c r="DN46" s="96">
        <f t="shared" si="41"/>
        <v>5</v>
      </c>
      <c r="DO46" s="96">
        <f t="shared" si="42"/>
        <v>0</v>
      </c>
      <c r="DP46" s="96">
        <f t="shared" si="42"/>
        <v>6</v>
      </c>
      <c r="DQ46" s="96">
        <f t="shared" si="42"/>
        <v>0</v>
      </c>
      <c r="DR46" s="96">
        <f t="shared" si="42"/>
        <v>6</v>
      </c>
      <c r="DS46" s="96">
        <f t="shared" si="42"/>
        <v>6</v>
      </c>
      <c r="DT46" s="96">
        <f t="shared" si="43"/>
        <v>0</v>
      </c>
      <c r="DU46" s="96">
        <f t="shared" si="43"/>
        <v>6</v>
      </c>
      <c r="DV46" s="96">
        <f t="shared" si="43"/>
        <v>0</v>
      </c>
      <c r="DW46" s="96">
        <f t="shared" si="43"/>
        <v>6</v>
      </c>
      <c r="DX46" s="96">
        <f t="shared" si="43"/>
        <v>6</v>
      </c>
      <c r="DY46" s="97">
        <f t="shared" si="44"/>
        <v>0</v>
      </c>
      <c r="DZ46" s="97">
        <f t="shared" si="44"/>
        <v>6</v>
      </c>
      <c r="EA46" s="97">
        <f t="shared" si="44"/>
        <v>0</v>
      </c>
      <c r="EB46" s="97">
        <f t="shared" si="44"/>
        <v>6</v>
      </c>
      <c r="EC46" s="97">
        <f t="shared" si="44"/>
        <v>6</v>
      </c>
      <c r="ED46" s="96">
        <f t="shared" si="45"/>
        <v>0</v>
      </c>
      <c r="EE46" s="96">
        <f t="shared" si="45"/>
        <v>6</v>
      </c>
      <c r="EF46" s="96">
        <f t="shared" si="45"/>
        <v>0</v>
      </c>
      <c r="EG46" s="96">
        <f t="shared" si="45"/>
        <v>6</v>
      </c>
      <c r="EH46" s="96">
        <f t="shared" si="45"/>
        <v>6</v>
      </c>
      <c r="EI46" s="96">
        <f t="shared" si="46"/>
        <v>0</v>
      </c>
      <c r="EJ46" s="96">
        <f t="shared" si="46"/>
        <v>0</v>
      </c>
      <c r="EK46" s="96">
        <f t="shared" si="46"/>
        <v>0</v>
      </c>
      <c r="EL46" s="96">
        <f t="shared" si="46"/>
        <v>0</v>
      </c>
      <c r="EM46" s="115">
        <f t="shared" si="46"/>
        <v>1</v>
      </c>
      <c r="EN46" s="98">
        <f t="shared" si="85"/>
        <v>1</v>
      </c>
      <c r="EO46" s="98">
        <f t="shared" si="85"/>
        <v>60</v>
      </c>
      <c r="EP46" s="98">
        <f t="shared" si="85"/>
        <v>1</v>
      </c>
      <c r="EQ46" s="98">
        <f t="shared" si="85"/>
        <v>60</v>
      </c>
      <c r="ER46" s="98">
        <f t="shared" si="85"/>
        <v>60</v>
      </c>
    </row>
    <row r="47" spans="1:148" ht="17" thickBot="1" x14ac:dyDescent="0.25">
      <c r="A47" s="19" t="s">
        <v>24</v>
      </c>
      <c r="B47" s="62">
        <v>6</v>
      </c>
      <c r="C47" s="62">
        <v>6</v>
      </c>
      <c r="D47" s="62">
        <v>6</v>
      </c>
      <c r="E47" s="62">
        <v>6</v>
      </c>
      <c r="F47" s="63">
        <v>6</v>
      </c>
      <c r="G47" s="21"/>
      <c r="I47" s="88">
        <f t="shared" si="86"/>
        <v>21</v>
      </c>
      <c r="J47" s="27">
        <v>1</v>
      </c>
      <c r="K47">
        <v>0</v>
      </c>
      <c r="L47">
        <v>1</v>
      </c>
      <c r="M47">
        <v>0</v>
      </c>
      <c r="N47">
        <v>1</v>
      </c>
      <c r="O47">
        <f t="shared" si="3"/>
        <v>4.862718621399176E-4</v>
      </c>
      <c r="P47" s="74">
        <f t="shared" si="47"/>
        <v>3</v>
      </c>
      <c r="Q47" s="114">
        <f t="shared" si="48"/>
        <v>1.0338333333333336</v>
      </c>
      <c r="R47" s="89">
        <f t="shared" si="4"/>
        <v>0</v>
      </c>
      <c r="S47" s="52">
        <f t="shared" si="5"/>
        <v>0</v>
      </c>
      <c r="T47" s="90">
        <f t="shared" si="6"/>
        <v>0</v>
      </c>
      <c r="U47" s="89">
        <f t="shared" si="49"/>
        <v>500</v>
      </c>
      <c r="V47" s="89">
        <f t="shared" si="50"/>
        <v>0</v>
      </c>
      <c r="W47" s="89">
        <f t="shared" si="51"/>
        <v>1375</v>
      </c>
      <c r="X47" s="89">
        <f t="shared" si="52"/>
        <v>180</v>
      </c>
      <c r="Y47" s="89">
        <f t="shared" si="53"/>
        <v>0</v>
      </c>
      <c r="Z47" s="89">
        <f t="shared" si="54"/>
        <v>648</v>
      </c>
      <c r="AA47" s="89">
        <f t="shared" si="55"/>
        <v>108</v>
      </c>
      <c r="AB47" s="89">
        <f t="shared" si="56"/>
        <v>0</v>
      </c>
      <c r="AC47" s="89">
        <f t="shared" si="57"/>
        <v>324</v>
      </c>
      <c r="AD47" s="89">
        <f t="shared" si="58"/>
        <v>72</v>
      </c>
      <c r="AE47" s="89">
        <f t="shared" si="59"/>
        <v>0</v>
      </c>
      <c r="AF47" s="89">
        <f t="shared" si="60"/>
        <v>162</v>
      </c>
      <c r="AG47" s="89">
        <f t="shared" si="61"/>
        <v>36</v>
      </c>
      <c r="AH47" s="89">
        <f t="shared" si="62"/>
        <v>0</v>
      </c>
      <c r="AI47" s="89">
        <f t="shared" si="63"/>
        <v>64.8</v>
      </c>
      <c r="AJ47" s="89">
        <f t="shared" si="64"/>
        <v>18</v>
      </c>
      <c r="AK47" s="89">
        <f t="shared" si="65"/>
        <v>0</v>
      </c>
      <c r="AL47" s="89">
        <f t="shared" si="66"/>
        <v>32.4</v>
      </c>
      <c r="AM47" s="89">
        <f t="shared" si="67"/>
        <v>18</v>
      </c>
      <c r="AN47" s="89">
        <f t="shared" si="68"/>
        <v>0</v>
      </c>
      <c r="AO47" s="89">
        <f t="shared" si="69"/>
        <v>32.4</v>
      </c>
      <c r="AP47" s="89">
        <f t="shared" si="70"/>
        <v>18</v>
      </c>
      <c r="AQ47" s="89">
        <f t="shared" si="71"/>
        <v>0</v>
      </c>
      <c r="AR47" s="89">
        <f t="shared" si="72"/>
        <v>32.4</v>
      </c>
      <c r="AS47" s="89">
        <f t="shared" si="73"/>
        <v>18</v>
      </c>
      <c r="AT47" s="89">
        <f t="shared" si="74"/>
        <v>0</v>
      </c>
      <c r="AU47" s="89">
        <f t="shared" si="75"/>
        <v>32.4</v>
      </c>
      <c r="AV47" s="89">
        <f t="shared" si="76"/>
        <v>18</v>
      </c>
      <c r="AW47" s="89">
        <f t="shared" si="77"/>
        <v>0</v>
      </c>
      <c r="AX47" s="89">
        <f t="shared" si="78"/>
        <v>32.4</v>
      </c>
      <c r="AY47" s="89">
        <f t="shared" si="79"/>
        <v>0</v>
      </c>
      <c r="AZ47" s="52">
        <f t="shared" si="8"/>
        <v>0</v>
      </c>
      <c r="BA47" s="90">
        <f t="shared" si="9"/>
        <v>0</v>
      </c>
      <c r="BB47" s="91">
        <f t="shared" si="80"/>
        <v>25</v>
      </c>
      <c r="BC47" s="91">
        <f t="shared" si="10"/>
        <v>0</v>
      </c>
      <c r="BD47" s="91">
        <f t="shared" si="11"/>
        <v>275</v>
      </c>
      <c r="BE47" s="52">
        <f t="shared" si="12"/>
        <v>36</v>
      </c>
      <c r="BF47" s="52">
        <f t="shared" si="13"/>
        <v>0</v>
      </c>
      <c r="BG47" s="90">
        <f t="shared" si="14"/>
        <v>324</v>
      </c>
      <c r="BH47" s="52">
        <f t="shared" si="15"/>
        <v>36</v>
      </c>
      <c r="BI47" s="52">
        <f t="shared" si="16"/>
        <v>0</v>
      </c>
      <c r="BJ47" s="92">
        <f t="shared" si="17"/>
        <v>324</v>
      </c>
      <c r="BK47" s="91">
        <f t="shared" si="18"/>
        <v>36</v>
      </c>
      <c r="BL47" s="91">
        <f t="shared" si="19"/>
        <v>0</v>
      </c>
      <c r="BM47" s="93">
        <f t="shared" si="20"/>
        <v>324</v>
      </c>
      <c r="BN47" s="92">
        <f t="shared" si="81"/>
        <v>36</v>
      </c>
      <c r="BO47" s="92">
        <f t="shared" si="82"/>
        <v>0</v>
      </c>
      <c r="BP47" s="92">
        <f t="shared" si="83"/>
        <v>324</v>
      </c>
      <c r="BQ47" s="91">
        <f t="shared" si="21"/>
        <v>36</v>
      </c>
      <c r="BR47" s="91">
        <f t="shared" si="22"/>
        <v>0</v>
      </c>
      <c r="BS47" s="93">
        <f t="shared" si="23"/>
        <v>324</v>
      </c>
      <c r="BT47" s="91">
        <f t="shared" si="24"/>
        <v>36</v>
      </c>
      <c r="BU47" s="91">
        <f t="shared" si="25"/>
        <v>0</v>
      </c>
      <c r="BV47" s="94">
        <f t="shared" si="26"/>
        <v>324</v>
      </c>
      <c r="BW47" s="52">
        <f t="shared" si="27"/>
        <v>36</v>
      </c>
      <c r="BX47" s="52">
        <f t="shared" si="28"/>
        <v>0</v>
      </c>
      <c r="BY47" s="90">
        <f t="shared" si="29"/>
        <v>324</v>
      </c>
      <c r="BZ47" s="52">
        <f t="shared" si="30"/>
        <v>36</v>
      </c>
      <c r="CA47" s="52">
        <f t="shared" si="31"/>
        <v>0</v>
      </c>
      <c r="CB47" s="90">
        <f t="shared" si="32"/>
        <v>324</v>
      </c>
      <c r="CC47" s="52">
        <f t="shared" si="33"/>
        <v>36</v>
      </c>
      <c r="CD47" s="52">
        <f t="shared" si="34"/>
        <v>0</v>
      </c>
      <c r="CE47" s="90">
        <f t="shared" si="35"/>
        <v>324</v>
      </c>
      <c r="CF47" s="95">
        <f t="shared" si="36"/>
        <v>1</v>
      </c>
      <c r="CG47" s="97">
        <f t="shared" si="36"/>
        <v>0</v>
      </c>
      <c r="CH47" s="97">
        <f t="shared" si="36"/>
        <v>1</v>
      </c>
      <c r="CI47" s="97">
        <f t="shared" si="36"/>
        <v>0</v>
      </c>
      <c r="CJ47" s="97">
        <f t="shared" si="36"/>
        <v>1</v>
      </c>
      <c r="CK47" s="96">
        <f t="shared" si="37"/>
        <v>0</v>
      </c>
      <c r="CL47" s="96">
        <f t="shared" si="37"/>
        <v>5</v>
      </c>
      <c r="CM47" s="96">
        <f t="shared" si="37"/>
        <v>0</v>
      </c>
      <c r="CN47" s="96">
        <f t="shared" si="37"/>
        <v>5</v>
      </c>
      <c r="CO47" s="96">
        <f t="shared" si="37"/>
        <v>0</v>
      </c>
      <c r="CP47" s="96">
        <f t="shared" si="38"/>
        <v>0</v>
      </c>
      <c r="CQ47" s="96">
        <f t="shared" si="38"/>
        <v>6</v>
      </c>
      <c r="CR47" s="96">
        <f t="shared" si="38"/>
        <v>0</v>
      </c>
      <c r="CS47" s="96">
        <f t="shared" si="38"/>
        <v>6</v>
      </c>
      <c r="CT47" s="96">
        <f t="shared" si="38"/>
        <v>0</v>
      </c>
      <c r="CU47" s="96">
        <f t="shared" si="39"/>
        <v>0</v>
      </c>
      <c r="CV47" s="96">
        <f t="shared" si="39"/>
        <v>6</v>
      </c>
      <c r="CW47" s="96">
        <f t="shared" si="39"/>
        <v>0</v>
      </c>
      <c r="CX47" s="96">
        <f t="shared" si="39"/>
        <v>6</v>
      </c>
      <c r="CY47" s="96">
        <f t="shared" si="39"/>
        <v>0</v>
      </c>
      <c r="CZ47" s="96">
        <f t="shared" si="40"/>
        <v>0</v>
      </c>
      <c r="DA47" s="96">
        <f t="shared" si="40"/>
        <v>6</v>
      </c>
      <c r="DB47" s="96">
        <f t="shared" si="40"/>
        <v>0</v>
      </c>
      <c r="DC47" s="96">
        <f t="shared" si="40"/>
        <v>6</v>
      </c>
      <c r="DD47" s="96">
        <f t="shared" si="40"/>
        <v>0</v>
      </c>
      <c r="DE47" s="96">
        <f t="shared" si="84"/>
        <v>0</v>
      </c>
      <c r="DF47" s="96">
        <f t="shared" si="84"/>
        <v>6</v>
      </c>
      <c r="DG47" s="96">
        <f t="shared" si="84"/>
        <v>0</v>
      </c>
      <c r="DH47" s="96">
        <f t="shared" si="84"/>
        <v>6</v>
      </c>
      <c r="DI47" s="96">
        <f t="shared" si="84"/>
        <v>0</v>
      </c>
      <c r="DJ47" s="96">
        <f t="shared" si="41"/>
        <v>0</v>
      </c>
      <c r="DK47" s="96">
        <f t="shared" si="41"/>
        <v>6</v>
      </c>
      <c r="DL47" s="96">
        <f t="shared" si="41"/>
        <v>0</v>
      </c>
      <c r="DM47" s="96">
        <f t="shared" si="41"/>
        <v>6</v>
      </c>
      <c r="DN47" s="96">
        <f t="shared" si="41"/>
        <v>0</v>
      </c>
      <c r="DO47" s="96">
        <f t="shared" si="42"/>
        <v>0</v>
      </c>
      <c r="DP47" s="96">
        <f t="shared" si="42"/>
        <v>6</v>
      </c>
      <c r="DQ47" s="96">
        <f t="shared" si="42"/>
        <v>0</v>
      </c>
      <c r="DR47" s="96">
        <f t="shared" si="42"/>
        <v>6</v>
      </c>
      <c r="DS47" s="96">
        <f t="shared" si="42"/>
        <v>0</v>
      </c>
      <c r="DT47" s="96">
        <f t="shared" si="43"/>
        <v>0</v>
      </c>
      <c r="DU47" s="96">
        <f t="shared" si="43"/>
        <v>6</v>
      </c>
      <c r="DV47" s="96">
        <f t="shared" si="43"/>
        <v>0</v>
      </c>
      <c r="DW47" s="96">
        <f t="shared" si="43"/>
        <v>6</v>
      </c>
      <c r="DX47" s="96">
        <f t="shared" si="43"/>
        <v>0</v>
      </c>
      <c r="DY47" s="97">
        <f t="shared" si="44"/>
        <v>0</v>
      </c>
      <c r="DZ47" s="97">
        <f t="shared" si="44"/>
        <v>6</v>
      </c>
      <c r="EA47" s="97">
        <f t="shared" si="44"/>
        <v>0</v>
      </c>
      <c r="EB47" s="97">
        <f t="shared" si="44"/>
        <v>6</v>
      </c>
      <c r="EC47" s="97">
        <f t="shared" si="44"/>
        <v>0</v>
      </c>
      <c r="ED47" s="96">
        <f t="shared" si="45"/>
        <v>0</v>
      </c>
      <c r="EE47" s="96">
        <f t="shared" si="45"/>
        <v>6</v>
      </c>
      <c r="EF47" s="96">
        <f t="shared" si="45"/>
        <v>0</v>
      </c>
      <c r="EG47" s="96">
        <f t="shared" si="45"/>
        <v>6</v>
      </c>
      <c r="EH47" s="96">
        <f t="shared" si="45"/>
        <v>0</v>
      </c>
      <c r="EI47" s="96">
        <f t="shared" si="46"/>
        <v>0</v>
      </c>
      <c r="EJ47" s="96">
        <f t="shared" si="46"/>
        <v>0</v>
      </c>
      <c r="EK47" s="96">
        <f t="shared" si="46"/>
        <v>0</v>
      </c>
      <c r="EL47" s="96">
        <f t="shared" si="46"/>
        <v>0</v>
      </c>
      <c r="EM47" s="115">
        <f t="shared" si="46"/>
        <v>0</v>
      </c>
      <c r="EN47" s="98">
        <f t="shared" si="85"/>
        <v>1</v>
      </c>
      <c r="EO47" s="98">
        <f t="shared" si="85"/>
        <v>60</v>
      </c>
      <c r="EP47" s="98">
        <f t="shared" si="85"/>
        <v>1</v>
      </c>
      <c r="EQ47" s="98">
        <f t="shared" si="85"/>
        <v>60</v>
      </c>
      <c r="ER47" s="98">
        <f t="shared" si="85"/>
        <v>1</v>
      </c>
    </row>
    <row r="48" spans="1:148" ht="17" thickBot="1" x14ac:dyDescent="0.25">
      <c r="A48" s="19" t="s">
        <v>25</v>
      </c>
      <c r="B48" s="62">
        <v>5</v>
      </c>
      <c r="C48" s="62">
        <v>6</v>
      </c>
      <c r="D48" s="62">
        <v>5</v>
      </c>
      <c r="E48" s="62">
        <v>6</v>
      </c>
      <c r="F48" s="63">
        <v>5</v>
      </c>
      <c r="G48" s="21"/>
      <c r="I48" s="88">
        <f t="shared" si="86"/>
        <v>22</v>
      </c>
      <c r="J48" s="27">
        <v>1</v>
      </c>
      <c r="K48">
        <v>0</v>
      </c>
      <c r="L48">
        <v>1</v>
      </c>
      <c r="M48">
        <v>1</v>
      </c>
      <c r="N48">
        <v>0</v>
      </c>
      <c r="O48">
        <f t="shared" si="3"/>
        <v>4.8627186213991754E-4</v>
      </c>
      <c r="P48" s="74">
        <f t="shared" si="47"/>
        <v>3</v>
      </c>
      <c r="Q48" s="114">
        <f t="shared" si="48"/>
        <v>1.712277777777778</v>
      </c>
      <c r="R48" s="89">
        <f t="shared" si="4"/>
        <v>0</v>
      </c>
      <c r="S48" s="52">
        <f t="shared" si="5"/>
        <v>0</v>
      </c>
      <c r="T48" s="90">
        <f t="shared" si="6"/>
        <v>0</v>
      </c>
      <c r="U48" s="89">
        <f t="shared" si="49"/>
        <v>500</v>
      </c>
      <c r="V48" s="89">
        <f t="shared" si="50"/>
        <v>2750</v>
      </c>
      <c r="W48" s="89">
        <f t="shared" si="51"/>
        <v>0</v>
      </c>
      <c r="X48" s="89">
        <f t="shared" si="52"/>
        <v>180</v>
      </c>
      <c r="Y48" s="89">
        <f t="shared" si="53"/>
        <v>972</v>
      </c>
      <c r="Z48" s="89">
        <f t="shared" si="54"/>
        <v>0</v>
      </c>
      <c r="AA48" s="89">
        <f t="shared" si="55"/>
        <v>108</v>
      </c>
      <c r="AB48" s="89">
        <f t="shared" si="56"/>
        <v>648</v>
      </c>
      <c r="AC48" s="89">
        <f t="shared" si="57"/>
        <v>0</v>
      </c>
      <c r="AD48" s="89">
        <f t="shared" si="58"/>
        <v>72</v>
      </c>
      <c r="AE48" s="89">
        <f t="shared" si="59"/>
        <v>324</v>
      </c>
      <c r="AF48" s="89">
        <f t="shared" si="60"/>
        <v>0</v>
      </c>
      <c r="AG48" s="89">
        <f t="shared" si="61"/>
        <v>36</v>
      </c>
      <c r="AH48" s="89">
        <f t="shared" si="62"/>
        <v>162</v>
      </c>
      <c r="AI48" s="89">
        <f t="shared" si="63"/>
        <v>0</v>
      </c>
      <c r="AJ48" s="89">
        <f t="shared" si="64"/>
        <v>15</v>
      </c>
      <c r="AK48" s="89">
        <f t="shared" si="65"/>
        <v>66</v>
      </c>
      <c r="AL48" s="89">
        <f t="shared" si="66"/>
        <v>0</v>
      </c>
      <c r="AM48" s="89">
        <f t="shared" si="67"/>
        <v>18</v>
      </c>
      <c r="AN48" s="89">
        <f t="shared" si="68"/>
        <v>64.8</v>
      </c>
      <c r="AO48" s="89">
        <f t="shared" si="69"/>
        <v>0</v>
      </c>
      <c r="AP48" s="89">
        <f t="shared" si="70"/>
        <v>18</v>
      </c>
      <c r="AQ48" s="89">
        <f t="shared" si="71"/>
        <v>64.8</v>
      </c>
      <c r="AR48" s="89">
        <f t="shared" si="72"/>
        <v>0</v>
      </c>
      <c r="AS48" s="89">
        <f t="shared" si="73"/>
        <v>18</v>
      </c>
      <c r="AT48" s="89">
        <f t="shared" si="74"/>
        <v>64.8</v>
      </c>
      <c r="AU48" s="89">
        <f t="shared" si="75"/>
        <v>0</v>
      </c>
      <c r="AV48" s="89">
        <f t="shared" si="76"/>
        <v>18</v>
      </c>
      <c r="AW48" s="89">
        <f t="shared" si="77"/>
        <v>64.8</v>
      </c>
      <c r="AX48" s="89">
        <f t="shared" si="78"/>
        <v>0</v>
      </c>
      <c r="AY48" s="89">
        <f t="shared" si="79"/>
        <v>0</v>
      </c>
      <c r="AZ48" s="52">
        <f t="shared" si="8"/>
        <v>0</v>
      </c>
      <c r="BA48" s="90">
        <f t="shared" si="9"/>
        <v>0</v>
      </c>
      <c r="BB48" s="91">
        <f t="shared" si="80"/>
        <v>25</v>
      </c>
      <c r="BC48" s="91">
        <f t="shared" si="10"/>
        <v>275</v>
      </c>
      <c r="BD48" s="91">
        <f t="shared" si="11"/>
        <v>0</v>
      </c>
      <c r="BE48" s="52">
        <f t="shared" si="12"/>
        <v>36</v>
      </c>
      <c r="BF48" s="52">
        <f t="shared" si="13"/>
        <v>324</v>
      </c>
      <c r="BG48" s="90">
        <f t="shared" si="14"/>
        <v>0</v>
      </c>
      <c r="BH48" s="52">
        <f t="shared" si="15"/>
        <v>36</v>
      </c>
      <c r="BI48" s="52">
        <f t="shared" si="16"/>
        <v>324</v>
      </c>
      <c r="BJ48" s="92">
        <f t="shared" si="17"/>
        <v>0</v>
      </c>
      <c r="BK48" s="91">
        <f t="shared" si="18"/>
        <v>36</v>
      </c>
      <c r="BL48" s="91">
        <f t="shared" si="19"/>
        <v>324</v>
      </c>
      <c r="BM48" s="93">
        <f t="shared" si="20"/>
        <v>0</v>
      </c>
      <c r="BN48" s="92">
        <f t="shared" si="81"/>
        <v>36</v>
      </c>
      <c r="BO48" s="92">
        <f t="shared" si="82"/>
        <v>324</v>
      </c>
      <c r="BP48" s="92">
        <f t="shared" si="83"/>
        <v>0</v>
      </c>
      <c r="BQ48" s="91">
        <f t="shared" si="21"/>
        <v>30</v>
      </c>
      <c r="BR48" s="91">
        <f t="shared" si="22"/>
        <v>330</v>
      </c>
      <c r="BS48" s="93">
        <f t="shared" si="23"/>
        <v>0</v>
      </c>
      <c r="BT48" s="91">
        <f t="shared" si="24"/>
        <v>36</v>
      </c>
      <c r="BU48" s="91">
        <f t="shared" si="25"/>
        <v>324</v>
      </c>
      <c r="BV48" s="94">
        <f t="shared" si="26"/>
        <v>0</v>
      </c>
      <c r="BW48" s="52">
        <f t="shared" si="27"/>
        <v>36</v>
      </c>
      <c r="BX48" s="52">
        <f t="shared" si="28"/>
        <v>324</v>
      </c>
      <c r="BY48" s="90">
        <f t="shared" si="29"/>
        <v>0</v>
      </c>
      <c r="BZ48" s="52">
        <f t="shared" si="30"/>
        <v>36</v>
      </c>
      <c r="CA48" s="52">
        <f t="shared" si="31"/>
        <v>324</v>
      </c>
      <c r="CB48" s="90">
        <f t="shared" si="32"/>
        <v>0</v>
      </c>
      <c r="CC48" s="52">
        <f t="shared" si="33"/>
        <v>36</v>
      </c>
      <c r="CD48" s="52">
        <f t="shared" si="34"/>
        <v>324</v>
      </c>
      <c r="CE48" s="90">
        <f t="shared" si="35"/>
        <v>0</v>
      </c>
      <c r="CF48" s="95">
        <f t="shared" si="36"/>
        <v>1</v>
      </c>
      <c r="CG48" s="97">
        <f t="shared" si="36"/>
        <v>0</v>
      </c>
      <c r="CH48" s="97">
        <f t="shared" si="36"/>
        <v>1</v>
      </c>
      <c r="CI48" s="97">
        <f t="shared" si="36"/>
        <v>1</v>
      </c>
      <c r="CJ48" s="97">
        <f t="shared" si="36"/>
        <v>0</v>
      </c>
      <c r="CK48" s="96">
        <f t="shared" si="37"/>
        <v>0</v>
      </c>
      <c r="CL48" s="96">
        <f t="shared" si="37"/>
        <v>5</v>
      </c>
      <c r="CM48" s="96">
        <f t="shared" si="37"/>
        <v>0</v>
      </c>
      <c r="CN48" s="96">
        <f t="shared" si="37"/>
        <v>0</v>
      </c>
      <c r="CO48" s="96">
        <f t="shared" si="37"/>
        <v>5</v>
      </c>
      <c r="CP48" s="96">
        <f t="shared" si="38"/>
        <v>0</v>
      </c>
      <c r="CQ48" s="96">
        <f t="shared" si="38"/>
        <v>6</v>
      </c>
      <c r="CR48" s="96">
        <f t="shared" si="38"/>
        <v>0</v>
      </c>
      <c r="CS48" s="96">
        <f t="shared" si="38"/>
        <v>0</v>
      </c>
      <c r="CT48" s="96">
        <f t="shared" si="38"/>
        <v>6</v>
      </c>
      <c r="CU48" s="96">
        <f t="shared" si="39"/>
        <v>0</v>
      </c>
      <c r="CV48" s="96">
        <f t="shared" si="39"/>
        <v>6</v>
      </c>
      <c r="CW48" s="96">
        <f t="shared" si="39"/>
        <v>0</v>
      </c>
      <c r="CX48" s="96">
        <f t="shared" si="39"/>
        <v>0</v>
      </c>
      <c r="CY48" s="96">
        <f t="shared" si="39"/>
        <v>6</v>
      </c>
      <c r="CZ48" s="96">
        <f t="shared" si="40"/>
        <v>0</v>
      </c>
      <c r="DA48" s="96">
        <f t="shared" si="40"/>
        <v>6</v>
      </c>
      <c r="DB48" s="96">
        <f t="shared" si="40"/>
        <v>0</v>
      </c>
      <c r="DC48" s="96">
        <f t="shared" si="40"/>
        <v>0</v>
      </c>
      <c r="DD48" s="96">
        <f t="shared" si="40"/>
        <v>6</v>
      </c>
      <c r="DE48" s="96">
        <f t="shared" si="84"/>
        <v>0</v>
      </c>
      <c r="DF48" s="96">
        <f t="shared" si="84"/>
        <v>6</v>
      </c>
      <c r="DG48" s="96">
        <f t="shared" si="84"/>
        <v>0</v>
      </c>
      <c r="DH48" s="96">
        <f t="shared" si="84"/>
        <v>0</v>
      </c>
      <c r="DI48" s="96">
        <f t="shared" si="84"/>
        <v>6</v>
      </c>
      <c r="DJ48" s="96">
        <f t="shared" si="41"/>
        <v>0</v>
      </c>
      <c r="DK48" s="96">
        <f t="shared" si="41"/>
        <v>6</v>
      </c>
      <c r="DL48" s="96">
        <f t="shared" si="41"/>
        <v>0</v>
      </c>
      <c r="DM48" s="96">
        <f t="shared" si="41"/>
        <v>0</v>
      </c>
      <c r="DN48" s="96">
        <f t="shared" si="41"/>
        <v>5</v>
      </c>
      <c r="DO48" s="96">
        <f t="shared" si="42"/>
        <v>0</v>
      </c>
      <c r="DP48" s="96">
        <f t="shared" si="42"/>
        <v>6</v>
      </c>
      <c r="DQ48" s="96">
        <f t="shared" si="42"/>
        <v>0</v>
      </c>
      <c r="DR48" s="96">
        <f t="shared" si="42"/>
        <v>0</v>
      </c>
      <c r="DS48" s="96">
        <f t="shared" si="42"/>
        <v>6</v>
      </c>
      <c r="DT48" s="96">
        <f t="shared" si="43"/>
        <v>0</v>
      </c>
      <c r="DU48" s="96">
        <f t="shared" si="43"/>
        <v>6</v>
      </c>
      <c r="DV48" s="96">
        <f t="shared" si="43"/>
        <v>0</v>
      </c>
      <c r="DW48" s="96">
        <f t="shared" si="43"/>
        <v>0</v>
      </c>
      <c r="DX48" s="96">
        <f t="shared" si="43"/>
        <v>6</v>
      </c>
      <c r="DY48" s="97">
        <f t="shared" si="44"/>
        <v>0</v>
      </c>
      <c r="DZ48" s="97">
        <f t="shared" si="44"/>
        <v>6</v>
      </c>
      <c r="EA48" s="97">
        <f t="shared" si="44"/>
        <v>0</v>
      </c>
      <c r="EB48" s="97">
        <f t="shared" si="44"/>
        <v>0</v>
      </c>
      <c r="EC48" s="97">
        <f t="shared" si="44"/>
        <v>6</v>
      </c>
      <c r="ED48" s="96">
        <f t="shared" si="45"/>
        <v>0</v>
      </c>
      <c r="EE48" s="96">
        <f t="shared" si="45"/>
        <v>6</v>
      </c>
      <c r="EF48" s="96">
        <f t="shared" si="45"/>
        <v>0</v>
      </c>
      <c r="EG48" s="96">
        <f t="shared" si="45"/>
        <v>0</v>
      </c>
      <c r="EH48" s="96">
        <f t="shared" si="45"/>
        <v>6</v>
      </c>
      <c r="EI48" s="96">
        <f t="shared" si="46"/>
        <v>0</v>
      </c>
      <c r="EJ48" s="96">
        <f t="shared" si="46"/>
        <v>0</v>
      </c>
      <c r="EK48" s="96">
        <f t="shared" si="46"/>
        <v>0</v>
      </c>
      <c r="EL48" s="96">
        <f t="shared" si="46"/>
        <v>0</v>
      </c>
      <c r="EM48" s="115">
        <f t="shared" si="46"/>
        <v>1</v>
      </c>
      <c r="EN48" s="98">
        <f t="shared" si="85"/>
        <v>1</v>
      </c>
      <c r="EO48" s="98">
        <f t="shared" si="85"/>
        <v>60</v>
      </c>
      <c r="EP48" s="98">
        <f t="shared" si="85"/>
        <v>1</v>
      </c>
      <c r="EQ48" s="98">
        <f t="shared" si="85"/>
        <v>1</v>
      </c>
      <c r="ER48" s="98">
        <f t="shared" si="85"/>
        <v>60</v>
      </c>
    </row>
    <row r="49" spans="1:148" ht="17" thickBot="1" x14ac:dyDescent="0.25">
      <c r="A49" s="19" t="s">
        <v>26</v>
      </c>
      <c r="B49" s="62">
        <v>6</v>
      </c>
      <c r="C49" s="62">
        <v>6</v>
      </c>
      <c r="D49" s="62">
        <v>6</v>
      </c>
      <c r="E49" s="62">
        <v>6</v>
      </c>
      <c r="F49" s="63">
        <v>6</v>
      </c>
      <c r="G49" s="21"/>
      <c r="I49" s="88">
        <f t="shared" si="86"/>
        <v>23</v>
      </c>
      <c r="J49" s="27">
        <v>1</v>
      </c>
      <c r="K49">
        <v>0</v>
      </c>
      <c r="L49">
        <v>1</v>
      </c>
      <c r="M49">
        <v>1</v>
      </c>
      <c r="N49">
        <v>1</v>
      </c>
      <c r="O49">
        <f t="shared" si="3"/>
        <v>4.4206532921810688E-5</v>
      </c>
      <c r="P49" s="74">
        <f t="shared" si="47"/>
        <v>4</v>
      </c>
      <c r="Q49" s="114">
        <f t="shared" si="48"/>
        <v>3.0166666666666666</v>
      </c>
      <c r="R49" s="89">
        <f t="shared" si="4"/>
        <v>0</v>
      </c>
      <c r="S49" s="52">
        <f t="shared" si="5"/>
        <v>0</v>
      </c>
      <c r="T49" s="90">
        <f t="shared" si="6"/>
        <v>0</v>
      </c>
      <c r="U49" s="89">
        <f t="shared" si="49"/>
        <v>100</v>
      </c>
      <c r="V49" s="89">
        <f t="shared" si="50"/>
        <v>0</v>
      </c>
      <c r="W49" s="89">
        <f t="shared" si="51"/>
        <v>0</v>
      </c>
      <c r="X49" s="89">
        <f t="shared" si="52"/>
        <v>30</v>
      </c>
      <c r="Y49" s="89">
        <f t="shared" si="53"/>
        <v>0</v>
      </c>
      <c r="Z49" s="89">
        <f t="shared" si="54"/>
        <v>0</v>
      </c>
      <c r="AA49" s="89">
        <f t="shared" si="55"/>
        <v>18</v>
      </c>
      <c r="AB49" s="89">
        <f t="shared" si="56"/>
        <v>0</v>
      </c>
      <c r="AC49" s="89">
        <f t="shared" si="57"/>
        <v>0</v>
      </c>
      <c r="AD49" s="89">
        <f t="shared" si="58"/>
        <v>12</v>
      </c>
      <c r="AE49" s="89">
        <f t="shared" si="59"/>
        <v>0</v>
      </c>
      <c r="AF49" s="89">
        <f t="shared" si="60"/>
        <v>0</v>
      </c>
      <c r="AG49" s="89">
        <f t="shared" si="61"/>
        <v>6</v>
      </c>
      <c r="AH49" s="89">
        <f t="shared" si="62"/>
        <v>0</v>
      </c>
      <c r="AI49" s="89">
        <f t="shared" si="63"/>
        <v>0</v>
      </c>
      <c r="AJ49" s="89">
        <f t="shared" si="64"/>
        <v>3</v>
      </c>
      <c r="AK49" s="89">
        <f t="shared" si="65"/>
        <v>0</v>
      </c>
      <c r="AL49" s="89">
        <f t="shared" si="66"/>
        <v>0</v>
      </c>
      <c r="AM49" s="89">
        <f t="shared" si="67"/>
        <v>3</v>
      </c>
      <c r="AN49" s="89">
        <f t="shared" si="68"/>
        <v>0</v>
      </c>
      <c r="AO49" s="89">
        <f t="shared" si="69"/>
        <v>0</v>
      </c>
      <c r="AP49" s="89">
        <f t="shared" si="70"/>
        <v>3</v>
      </c>
      <c r="AQ49" s="89">
        <f t="shared" si="71"/>
        <v>0</v>
      </c>
      <c r="AR49" s="89">
        <f t="shared" si="72"/>
        <v>0</v>
      </c>
      <c r="AS49" s="89">
        <f t="shared" si="73"/>
        <v>3</v>
      </c>
      <c r="AT49" s="89">
        <f t="shared" si="74"/>
        <v>0</v>
      </c>
      <c r="AU49" s="89">
        <f t="shared" si="75"/>
        <v>0</v>
      </c>
      <c r="AV49" s="89">
        <f t="shared" si="76"/>
        <v>3</v>
      </c>
      <c r="AW49" s="89">
        <f t="shared" si="77"/>
        <v>0</v>
      </c>
      <c r="AX49" s="89">
        <f t="shared" si="78"/>
        <v>0</v>
      </c>
      <c r="AY49" s="89">
        <f t="shared" si="79"/>
        <v>0</v>
      </c>
      <c r="AZ49" s="52">
        <f t="shared" si="8"/>
        <v>0</v>
      </c>
      <c r="BA49" s="90">
        <f t="shared" si="9"/>
        <v>0</v>
      </c>
      <c r="BB49" s="91">
        <f t="shared" si="80"/>
        <v>5</v>
      </c>
      <c r="BC49" s="91">
        <f t="shared" si="10"/>
        <v>0</v>
      </c>
      <c r="BD49" s="91">
        <f t="shared" si="11"/>
        <v>0</v>
      </c>
      <c r="BE49" s="52">
        <f t="shared" si="12"/>
        <v>6</v>
      </c>
      <c r="BF49" s="52">
        <f t="shared" si="13"/>
        <v>0</v>
      </c>
      <c r="BG49" s="90">
        <f t="shared" si="14"/>
        <v>0</v>
      </c>
      <c r="BH49" s="52">
        <f t="shared" si="15"/>
        <v>6</v>
      </c>
      <c r="BI49" s="52">
        <f t="shared" si="16"/>
        <v>0</v>
      </c>
      <c r="BJ49" s="92">
        <f t="shared" si="17"/>
        <v>0</v>
      </c>
      <c r="BK49" s="91">
        <f t="shared" si="18"/>
        <v>6</v>
      </c>
      <c r="BL49" s="91">
        <f t="shared" si="19"/>
        <v>0</v>
      </c>
      <c r="BM49" s="93">
        <f t="shared" si="20"/>
        <v>0</v>
      </c>
      <c r="BN49" s="92">
        <f t="shared" si="81"/>
        <v>6</v>
      </c>
      <c r="BO49" s="92">
        <f t="shared" si="82"/>
        <v>0</v>
      </c>
      <c r="BP49" s="92">
        <f t="shared" si="83"/>
        <v>0</v>
      </c>
      <c r="BQ49" s="91">
        <f t="shared" si="21"/>
        <v>6</v>
      </c>
      <c r="BR49" s="91">
        <f t="shared" si="22"/>
        <v>0</v>
      </c>
      <c r="BS49" s="93">
        <f t="shared" si="23"/>
        <v>0</v>
      </c>
      <c r="BT49" s="91">
        <f t="shared" si="24"/>
        <v>6</v>
      </c>
      <c r="BU49" s="91">
        <f t="shared" si="25"/>
        <v>0</v>
      </c>
      <c r="BV49" s="94">
        <f t="shared" si="26"/>
        <v>0</v>
      </c>
      <c r="BW49" s="52">
        <f t="shared" si="27"/>
        <v>6</v>
      </c>
      <c r="BX49" s="52">
        <f t="shared" si="28"/>
        <v>0</v>
      </c>
      <c r="BY49" s="90">
        <f t="shared" si="29"/>
        <v>0</v>
      </c>
      <c r="BZ49" s="52">
        <f t="shared" si="30"/>
        <v>6</v>
      </c>
      <c r="CA49" s="52">
        <f t="shared" si="31"/>
        <v>0</v>
      </c>
      <c r="CB49" s="90">
        <f t="shared" si="32"/>
        <v>0</v>
      </c>
      <c r="CC49" s="52">
        <f t="shared" si="33"/>
        <v>6</v>
      </c>
      <c r="CD49" s="52">
        <f t="shared" si="34"/>
        <v>0</v>
      </c>
      <c r="CE49" s="90">
        <f t="shared" si="35"/>
        <v>0</v>
      </c>
      <c r="CF49" s="95">
        <f t="shared" si="36"/>
        <v>1</v>
      </c>
      <c r="CG49" s="97">
        <f t="shared" si="36"/>
        <v>0</v>
      </c>
      <c r="CH49" s="97">
        <f t="shared" si="36"/>
        <v>1</v>
      </c>
      <c r="CI49" s="97">
        <f t="shared" si="36"/>
        <v>1</v>
      </c>
      <c r="CJ49" s="97">
        <f t="shared" si="36"/>
        <v>1</v>
      </c>
      <c r="CK49" s="96">
        <f t="shared" si="37"/>
        <v>0</v>
      </c>
      <c r="CL49" s="96">
        <f t="shared" si="37"/>
        <v>5</v>
      </c>
      <c r="CM49" s="96">
        <f t="shared" si="37"/>
        <v>0</v>
      </c>
      <c r="CN49" s="96">
        <f t="shared" si="37"/>
        <v>0</v>
      </c>
      <c r="CO49" s="96">
        <f t="shared" si="37"/>
        <v>0</v>
      </c>
      <c r="CP49" s="96">
        <f t="shared" si="38"/>
        <v>0</v>
      </c>
      <c r="CQ49" s="96">
        <f t="shared" si="38"/>
        <v>6</v>
      </c>
      <c r="CR49" s="96">
        <f t="shared" si="38"/>
        <v>0</v>
      </c>
      <c r="CS49" s="96">
        <f t="shared" si="38"/>
        <v>0</v>
      </c>
      <c r="CT49" s="96">
        <f t="shared" si="38"/>
        <v>0</v>
      </c>
      <c r="CU49" s="96">
        <f t="shared" si="39"/>
        <v>0</v>
      </c>
      <c r="CV49" s="96">
        <f t="shared" si="39"/>
        <v>6</v>
      </c>
      <c r="CW49" s="96">
        <f t="shared" si="39"/>
        <v>0</v>
      </c>
      <c r="CX49" s="96">
        <f t="shared" si="39"/>
        <v>0</v>
      </c>
      <c r="CY49" s="96">
        <f t="shared" si="39"/>
        <v>0</v>
      </c>
      <c r="CZ49" s="96">
        <f t="shared" si="40"/>
        <v>0</v>
      </c>
      <c r="DA49" s="96">
        <f t="shared" si="40"/>
        <v>6</v>
      </c>
      <c r="DB49" s="96">
        <f t="shared" si="40"/>
        <v>0</v>
      </c>
      <c r="DC49" s="96">
        <f t="shared" si="40"/>
        <v>0</v>
      </c>
      <c r="DD49" s="96">
        <f t="shared" si="40"/>
        <v>0</v>
      </c>
      <c r="DE49" s="96">
        <f t="shared" si="84"/>
        <v>0</v>
      </c>
      <c r="DF49" s="96">
        <f t="shared" si="84"/>
        <v>6</v>
      </c>
      <c r="DG49" s="96">
        <f t="shared" si="84"/>
        <v>0</v>
      </c>
      <c r="DH49" s="96">
        <f t="shared" si="84"/>
        <v>0</v>
      </c>
      <c r="DI49" s="96">
        <f t="shared" si="84"/>
        <v>0</v>
      </c>
      <c r="DJ49" s="96">
        <f t="shared" si="41"/>
        <v>0</v>
      </c>
      <c r="DK49" s="96">
        <f t="shared" si="41"/>
        <v>6</v>
      </c>
      <c r="DL49" s="96">
        <f t="shared" si="41"/>
        <v>0</v>
      </c>
      <c r="DM49" s="96">
        <f t="shared" si="41"/>
        <v>0</v>
      </c>
      <c r="DN49" s="96">
        <f t="shared" si="41"/>
        <v>0</v>
      </c>
      <c r="DO49" s="96">
        <f t="shared" si="42"/>
        <v>0</v>
      </c>
      <c r="DP49" s="96">
        <f t="shared" si="42"/>
        <v>6</v>
      </c>
      <c r="DQ49" s="96">
        <f t="shared" si="42"/>
        <v>0</v>
      </c>
      <c r="DR49" s="96">
        <f t="shared" si="42"/>
        <v>0</v>
      </c>
      <c r="DS49" s="96">
        <f t="shared" si="42"/>
        <v>0</v>
      </c>
      <c r="DT49" s="96">
        <f t="shared" si="43"/>
        <v>0</v>
      </c>
      <c r="DU49" s="96">
        <f t="shared" si="43"/>
        <v>6</v>
      </c>
      <c r="DV49" s="96">
        <f t="shared" si="43"/>
        <v>0</v>
      </c>
      <c r="DW49" s="96">
        <f t="shared" si="43"/>
        <v>0</v>
      </c>
      <c r="DX49" s="96">
        <f t="shared" si="43"/>
        <v>0</v>
      </c>
      <c r="DY49" s="97">
        <f t="shared" si="44"/>
        <v>0</v>
      </c>
      <c r="DZ49" s="97">
        <f t="shared" si="44"/>
        <v>6</v>
      </c>
      <c r="EA49" s="97">
        <f t="shared" si="44"/>
        <v>0</v>
      </c>
      <c r="EB49" s="97">
        <f t="shared" si="44"/>
        <v>0</v>
      </c>
      <c r="EC49" s="97">
        <f t="shared" si="44"/>
        <v>0</v>
      </c>
      <c r="ED49" s="96">
        <f t="shared" si="45"/>
        <v>0</v>
      </c>
      <c r="EE49" s="96">
        <f t="shared" si="45"/>
        <v>6</v>
      </c>
      <c r="EF49" s="96">
        <f t="shared" si="45"/>
        <v>0</v>
      </c>
      <c r="EG49" s="96">
        <f t="shared" si="45"/>
        <v>0</v>
      </c>
      <c r="EH49" s="96">
        <f t="shared" si="45"/>
        <v>0</v>
      </c>
      <c r="EI49" s="96">
        <f t="shared" si="46"/>
        <v>0</v>
      </c>
      <c r="EJ49" s="96">
        <f t="shared" si="46"/>
        <v>0</v>
      </c>
      <c r="EK49" s="96">
        <f t="shared" si="46"/>
        <v>0</v>
      </c>
      <c r="EL49" s="96">
        <f t="shared" si="46"/>
        <v>0</v>
      </c>
      <c r="EM49" s="115">
        <f t="shared" si="46"/>
        <v>0</v>
      </c>
      <c r="EN49" s="98">
        <f t="shared" si="85"/>
        <v>1</v>
      </c>
      <c r="EO49" s="98">
        <f t="shared" si="85"/>
        <v>60</v>
      </c>
      <c r="EP49" s="98">
        <f t="shared" si="85"/>
        <v>1</v>
      </c>
      <c r="EQ49" s="98">
        <f t="shared" si="85"/>
        <v>1</v>
      </c>
      <c r="ER49" s="98">
        <f t="shared" si="85"/>
        <v>1</v>
      </c>
    </row>
    <row r="50" spans="1:148" ht="17" thickBot="1" x14ac:dyDescent="0.25">
      <c r="A50" s="19" t="s">
        <v>27</v>
      </c>
      <c r="B50" s="62">
        <v>6</v>
      </c>
      <c r="C50" s="62">
        <v>6</v>
      </c>
      <c r="D50" s="62">
        <v>6</v>
      </c>
      <c r="E50" s="62">
        <v>6</v>
      </c>
      <c r="F50" s="63">
        <v>6</v>
      </c>
      <c r="G50" s="21"/>
      <c r="I50" s="88">
        <f t="shared" si="86"/>
        <v>24</v>
      </c>
      <c r="J50" s="27">
        <v>1</v>
      </c>
      <c r="K50">
        <v>1</v>
      </c>
      <c r="L50">
        <v>0</v>
      </c>
      <c r="M50">
        <v>0</v>
      </c>
      <c r="N50">
        <v>0</v>
      </c>
      <c r="O50">
        <f t="shared" si="3"/>
        <v>5.3489904835390938E-3</v>
      </c>
      <c r="P50" s="74">
        <f t="shared" si="47"/>
        <v>2</v>
      </c>
      <c r="Q50" s="114">
        <f t="shared" si="48"/>
        <v>0.91425092592592572</v>
      </c>
      <c r="R50" s="89">
        <f t="shared" si="4"/>
        <v>0</v>
      </c>
      <c r="S50" s="52">
        <f t="shared" si="5"/>
        <v>0</v>
      </c>
      <c r="T50" s="90">
        <f t="shared" si="6"/>
        <v>0</v>
      </c>
      <c r="U50" s="89">
        <f t="shared" si="49"/>
        <v>2500</v>
      </c>
      <c r="V50" s="89">
        <f t="shared" si="50"/>
        <v>13750</v>
      </c>
      <c r="W50" s="89">
        <f t="shared" si="51"/>
        <v>82500</v>
      </c>
      <c r="X50" s="89">
        <f t="shared" si="52"/>
        <v>1080</v>
      </c>
      <c r="Y50" s="89">
        <f t="shared" si="53"/>
        <v>5832</v>
      </c>
      <c r="Z50" s="89">
        <f t="shared" si="54"/>
        <v>38880</v>
      </c>
      <c r="AA50" s="89">
        <f t="shared" si="55"/>
        <v>648</v>
      </c>
      <c r="AB50" s="89">
        <f t="shared" si="56"/>
        <v>3888</v>
      </c>
      <c r="AC50" s="89">
        <f t="shared" si="57"/>
        <v>19440</v>
      </c>
      <c r="AD50" s="89">
        <f t="shared" si="58"/>
        <v>432</v>
      </c>
      <c r="AE50" s="89">
        <f t="shared" si="59"/>
        <v>1944</v>
      </c>
      <c r="AF50" s="89">
        <f t="shared" si="60"/>
        <v>9720</v>
      </c>
      <c r="AG50" s="89">
        <f t="shared" si="61"/>
        <v>216</v>
      </c>
      <c r="AH50" s="89">
        <f t="shared" si="62"/>
        <v>972</v>
      </c>
      <c r="AI50" s="89">
        <f t="shared" si="63"/>
        <v>3888</v>
      </c>
      <c r="AJ50" s="89">
        <f t="shared" si="64"/>
        <v>75</v>
      </c>
      <c r="AK50" s="89">
        <f t="shared" si="65"/>
        <v>330</v>
      </c>
      <c r="AL50" s="89">
        <f t="shared" si="66"/>
        <v>1620</v>
      </c>
      <c r="AM50" s="89">
        <f t="shared" si="67"/>
        <v>108</v>
      </c>
      <c r="AN50" s="89">
        <f t="shared" si="68"/>
        <v>388.8</v>
      </c>
      <c r="AO50" s="89">
        <f t="shared" si="69"/>
        <v>1944</v>
      </c>
      <c r="AP50" s="89">
        <f t="shared" si="70"/>
        <v>108</v>
      </c>
      <c r="AQ50" s="89">
        <f t="shared" si="71"/>
        <v>388.8</v>
      </c>
      <c r="AR50" s="89">
        <f t="shared" si="72"/>
        <v>1944</v>
      </c>
      <c r="AS50" s="89">
        <f t="shared" si="73"/>
        <v>108</v>
      </c>
      <c r="AT50" s="89">
        <f t="shared" si="74"/>
        <v>388.8</v>
      </c>
      <c r="AU50" s="89">
        <f t="shared" si="75"/>
        <v>1944</v>
      </c>
      <c r="AV50" s="89">
        <f t="shared" si="76"/>
        <v>108</v>
      </c>
      <c r="AW50" s="89">
        <f t="shared" si="77"/>
        <v>388.8</v>
      </c>
      <c r="AX50" s="89">
        <f t="shared" si="78"/>
        <v>1944</v>
      </c>
      <c r="AY50" s="89">
        <f t="shared" si="79"/>
        <v>0</v>
      </c>
      <c r="AZ50" s="52">
        <f t="shared" si="8"/>
        <v>0</v>
      </c>
      <c r="BA50" s="90">
        <f t="shared" si="9"/>
        <v>0</v>
      </c>
      <c r="BB50" s="91">
        <f t="shared" si="80"/>
        <v>125</v>
      </c>
      <c r="BC50" s="91">
        <f t="shared" si="10"/>
        <v>1375</v>
      </c>
      <c r="BD50" s="91">
        <f t="shared" si="11"/>
        <v>16500</v>
      </c>
      <c r="BE50" s="52">
        <f t="shared" si="12"/>
        <v>216</v>
      </c>
      <c r="BF50" s="52">
        <f t="shared" si="13"/>
        <v>1944</v>
      </c>
      <c r="BG50" s="90">
        <f t="shared" si="14"/>
        <v>19440</v>
      </c>
      <c r="BH50" s="52">
        <f t="shared" si="15"/>
        <v>216</v>
      </c>
      <c r="BI50" s="52">
        <f t="shared" si="16"/>
        <v>1944</v>
      </c>
      <c r="BJ50" s="92">
        <f t="shared" si="17"/>
        <v>19440</v>
      </c>
      <c r="BK50" s="91">
        <f t="shared" si="18"/>
        <v>216</v>
      </c>
      <c r="BL50" s="91">
        <f t="shared" si="19"/>
        <v>1944</v>
      </c>
      <c r="BM50" s="93">
        <f t="shared" si="20"/>
        <v>19440</v>
      </c>
      <c r="BN50" s="92">
        <f t="shared" si="81"/>
        <v>216</v>
      </c>
      <c r="BO50" s="92">
        <f t="shared" si="82"/>
        <v>1944</v>
      </c>
      <c r="BP50" s="92">
        <f t="shared" si="83"/>
        <v>19440</v>
      </c>
      <c r="BQ50" s="91">
        <f t="shared" si="21"/>
        <v>150</v>
      </c>
      <c r="BR50" s="91">
        <f t="shared" si="22"/>
        <v>1650</v>
      </c>
      <c r="BS50" s="93">
        <f t="shared" si="23"/>
        <v>16200</v>
      </c>
      <c r="BT50" s="91">
        <f t="shared" si="24"/>
        <v>216</v>
      </c>
      <c r="BU50" s="91">
        <f t="shared" si="25"/>
        <v>1944</v>
      </c>
      <c r="BV50" s="94">
        <f t="shared" si="26"/>
        <v>19440</v>
      </c>
      <c r="BW50" s="52">
        <f t="shared" si="27"/>
        <v>216</v>
      </c>
      <c r="BX50" s="52">
        <f t="shared" si="28"/>
        <v>1944</v>
      </c>
      <c r="BY50" s="90">
        <f t="shared" si="29"/>
        <v>19440</v>
      </c>
      <c r="BZ50" s="52">
        <f t="shared" si="30"/>
        <v>216</v>
      </c>
      <c r="CA50" s="52">
        <f t="shared" si="31"/>
        <v>1944</v>
      </c>
      <c r="CB50" s="90">
        <f t="shared" si="32"/>
        <v>19440</v>
      </c>
      <c r="CC50" s="52">
        <f t="shared" si="33"/>
        <v>216</v>
      </c>
      <c r="CD50" s="52">
        <f t="shared" si="34"/>
        <v>1944</v>
      </c>
      <c r="CE50" s="90">
        <f t="shared" si="35"/>
        <v>19440</v>
      </c>
      <c r="CF50" s="95">
        <f t="shared" si="36"/>
        <v>1</v>
      </c>
      <c r="CG50" s="97">
        <f t="shared" si="36"/>
        <v>1</v>
      </c>
      <c r="CH50" s="97">
        <f t="shared" si="36"/>
        <v>0</v>
      </c>
      <c r="CI50" s="97">
        <f t="shared" si="36"/>
        <v>0</v>
      </c>
      <c r="CJ50" s="97">
        <f t="shared" si="36"/>
        <v>0</v>
      </c>
      <c r="CK50" s="96">
        <f t="shared" si="37"/>
        <v>0</v>
      </c>
      <c r="CL50" s="96">
        <f t="shared" si="37"/>
        <v>0</v>
      </c>
      <c r="CM50" s="96">
        <f t="shared" si="37"/>
        <v>5</v>
      </c>
      <c r="CN50" s="96">
        <f t="shared" si="37"/>
        <v>5</v>
      </c>
      <c r="CO50" s="96">
        <f t="shared" si="37"/>
        <v>5</v>
      </c>
      <c r="CP50" s="96">
        <f t="shared" si="38"/>
        <v>0</v>
      </c>
      <c r="CQ50" s="96">
        <f t="shared" si="38"/>
        <v>0</v>
      </c>
      <c r="CR50" s="96">
        <f t="shared" si="38"/>
        <v>6</v>
      </c>
      <c r="CS50" s="96">
        <f t="shared" si="38"/>
        <v>6</v>
      </c>
      <c r="CT50" s="96">
        <f t="shared" si="38"/>
        <v>6</v>
      </c>
      <c r="CU50" s="96">
        <f t="shared" si="39"/>
        <v>0</v>
      </c>
      <c r="CV50" s="96">
        <f t="shared" si="39"/>
        <v>0</v>
      </c>
      <c r="CW50" s="96">
        <f t="shared" si="39"/>
        <v>6</v>
      </c>
      <c r="CX50" s="96">
        <f t="shared" si="39"/>
        <v>6</v>
      </c>
      <c r="CY50" s="96">
        <f t="shared" si="39"/>
        <v>6</v>
      </c>
      <c r="CZ50" s="96">
        <f t="shared" si="40"/>
        <v>0</v>
      </c>
      <c r="DA50" s="96">
        <f t="shared" si="40"/>
        <v>0</v>
      </c>
      <c r="DB50" s="96">
        <f t="shared" si="40"/>
        <v>6</v>
      </c>
      <c r="DC50" s="96">
        <f t="shared" si="40"/>
        <v>6</v>
      </c>
      <c r="DD50" s="96">
        <f t="shared" si="40"/>
        <v>6</v>
      </c>
      <c r="DE50" s="96">
        <f t="shared" si="84"/>
        <v>0</v>
      </c>
      <c r="DF50" s="96">
        <f t="shared" si="84"/>
        <v>0</v>
      </c>
      <c r="DG50" s="96">
        <f t="shared" si="84"/>
        <v>6</v>
      </c>
      <c r="DH50" s="96">
        <f t="shared" si="84"/>
        <v>6</v>
      </c>
      <c r="DI50" s="96">
        <f t="shared" si="84"/>
        <v>6</v>
      </c>
      <c r="DJ50" s="96">
        <f t="shared" si="41"/>
        <v>0</v>
      </c>
      <c r="DK50" s="96">
        <f t="shared" si="41"/>
        <v>0</v>
      </c>
      <c r="DL50" s="96">
        <f t="shared" si="41"/>
        <v>5</v>
      </c>
      <c r="DM50" s="96">
        <f t="shared" si="41"/>
        <v>6</v>
      </c>
      <c r="DN50" s="96">
        <f t="shared" si="41"/>
        <v>5</v>
      </c>
      <c r="DO50" s="96">
        <f t="shared" si="42"/>
        <v>0</v>
      </c>
      <c r="DP50" s="96">
        <f t="shared" si="42"/>
        <v>0</v>
      </c>
      <c r="DQ50" s="96">
        <f t="shared" si="42"/>
        <v>6</v>
      </c>
      <c r="DR50" s="96">
        <f t="shared" si="42"/>
        <v>6</v>
      </c>
      <c r="DS50" s="96">
        <f t="shared" si="42"/>
        <v>6</v>
      </c>
      <c r="DT50" s="96">
        <f t="shared" si="43"/>
        <v>0</v>
      </c>
      <c r="DU50" s="96">
        <f t="shared" si="43"/>
        <v>0</v>
      </c>
      <c r="DV50" s="96">
        <f t="shared" si="43"/>
        <v>6</v>
      </c>
      <c r="DW50" s="96">
        <f t="shared" si="43"/>
        <v>6</v>
      </c>
      <c r="DX50" s="96">
        <f t="shared" si="43"/>
        <v>6</v>
      </c>
      <c r="DY50" s="97">
        <f t="shared" si="44"/>
        <v>0</v>
      </c>
      <c r="DZ50" s="97">
        <f t="shared" si="44"/>
        <v>0</v>
      </c>
      <c r="EA50" s="97">
        <f t="shared" si="44"/>
        <v>6</v>
      </c>
      <c r="EB50" s="97">
        <f t="shared" si="44"/>
        <v>6</v>
      </c>
      <c r="EC50" s="97">
        <f t="shared" si="44"/>
        <v>6</v>
      </c>
      <c r="ED50" s="96">
        <f t="shared" si="45"/>
        <v>0</v>
      </c>
      <c r="EE50" s="96">
        <f t="shared" si="45"/>
        <v>0</v>
      </c>
      <c r="EF50" s="96">
        <f t="shared" si="45"/>
        <v>6</v>
      </c>
      <c r="EG50" s="96">
        <f t="shared" si="45"/>
        <v>6</v>
      </c>
      <c r="EH50" s="96">
        <f t="shared" si="45"/>
        <v>6</v>
      </c>
      <c r="EI50" s="96">
        <f t="shared" si="46"/>
        <v>0</v>
      </c>
      <c r="EJ50" s="96">
        <f t="shared" si="46"/>
        <v>0</v>
      </c>
      <c r="EK50" s="96">
        <f t="shared" si="46"/>
        <v>1</v>
      </c>
      <c r="EL50" s="96">
        <f t="shared" si="46"/>
        <v>0</v>
      </c>
      <c r="EM50" s="115">
        <f t="shared" si="46"/>
        <v>1</v>
      </c>
      <c r="EN50" s="98">
        <f t="shared" si="85"/>
        <v>1</v>
      </c>
      <c r="EO50" s="98">
        <f t="shared" si="85"/>
        <v>1</v>
      </c>
      <c r="EP50" s="98">
        <f t="shared" si="85"/>
        <v>60</v>
      </c>
      <c r="EQ50" s="98">
        <f t="shared" si="85"/>
        <v>60</v>
      </c>
      <c r="ER50" s="98">
        <f t="shared" si="85"/>
        <v>60</v>
      </c>
    </row>
    <row r="51" spans="1:148" ht="17" thickBot="1" x14ac:dyDescent="0.25">
      <c r="A51" s="19" t="s">
        <v>28</v>
      </c>
      <c r="B51" s="62">
        <v>6</v>
      </c>
      <c r="C51" s="62">
        <v>6</v>
      </c>
      <c r="D51" s="62">
        <v>6</v>
      </c>
      <c r="E51" s="62">
        <v>6</v>
      </c>
      <c r="F51" s="63">
        <v>6</v>
      </c>
      <c r="G51" s="21"/>
      <c r="I51" s="88">
        <f t="shared" si="86"/>
        <v>25</v>
      </c>
      <c r="J51" s="27">
        <v>1</v>
      </c>
      <c r="K51">
        <v>1</v>
      </c>
      <c r="L51">
        <v>0</v>
      </c>
      <c r="M51">
        <v>0</v>
      </c>
      <c r="N51">
        <v>1</v>
      </c>
      <c r="O51">
        <f t="shared" si="3"/>
        <v>4.862718621399176E-4</v>
      </c>
      <c r="P51" s="74">
        <f t="shared" si="47"/>
        <v>3</v>
      </c>
      <c r="Q51" s="114">
        <f t="shared" si="48"/>
        <v>1.0315000000000001</v>
      </c>
      <c r="R51" s="89">
        <f t="shared" si="4"/>
        <v>0</v>
      </c>
      <c r="S51" s="52">
        <f t="shared" si="5"/>
        <v>0</v>
      </c>
      <c r="T51" s="90">
        <f t="shared" si="6"/>
        <v>0</v>
      </c>
      <c r="U51" s="89">
        <f t="shared" si="49"/>
        <v>500</v>
      </c>
      <c r="V51" s="89">
        <f t="shared" si="50"/>
        <v>0</v>
      </c>
      <c r="W51" s="89">
        <f t="shared" si="51"/>
        <v>1375</v>
      </c>
      <c r="X51" s="89">
        <f t="shared" si="52"/>
        <v>180</v>
      </c>
      <c r="Y51" s="89">
        <f t="shared" si="53"/>
        <v>0</v>
      </c>
      <c r="Z51" s="89">
        <f t="shared" si="54"/>
        <v>648</v>
      </c>
      <c r="AA51" s="89">
        <f t="shared" si="55"/>
        <v>108</v>
      </c>
      <c r="AB51" s="89">
        <f t="shared" si="56"/>
        <v>0</v>
      </c>
      <c r="AC51" s="89">
        <f t="shared" si="57"/>
        <v>324</v>
      </c>
      <c r="AD51" s="89">
        <f t="shared" si="58"/>
        <v>72</v>
      </c>
      <c r="AE51" s="89">
        <f t="shared" si="59"/>
        <v>0</v>
      </c>
      <c r="AF51" s="89">
        <f t="shared" si="60"/>
        <v>162</v>
      </c>
      <c r="AG51" s="89">
        <f t="shared" si="61"/>
        <v>36</v>
      </c>
      <c r="AH51" s="89">
        <f t="shared" si="62"/>
        <v>0</v>
      </c>
      <c r="AI51" s="89">
        <f t="shared" si="63"/>
        <v>64.8</v>
      </c>
      <c r="AJ51" s="89">
        <f t="shared" si="64"/>
        <v>15</v>
      </c>
      <c r="AK51" s="89">
        <f t="shared" si="65"/>
        <v>0</v>
      </c>
      <c r="AL51" s="89">
        <f t="shared" si="66"/>
        <v>27</v>
      </c>
      <c r="AM51" s="89">
        <f t="shared" si="67"/>
        <v>18</v>
      </c>
      <c r="AN51" s="89">
        <f t="shared" si="68"/>
        <v>0</v>
      </c>
      <c r="AO51" s="89">
        <f t="shared" si="69"/>
        <v>32.4</v>
      </c>
      <c r="AP51" s="89">
        <f t="shared" si="70"/>
        <v>18</v>
      </c>
      <c r="AQ51" s="89">
        <f t="shared" si="71"/>
        <v>0</v>
      </c>
      <c r="AR51" s="89">
        <f t="shared" si="72"/>
        <v>32.4</v>
      </c>
      <c r="AS51" s="89">
        <f t="shared" si="73"/>
        <v>18</v>
      </c>
      <c r="AT51" s="89">
        <f t="shared" si="74"/>
        <v>0</v>
      </c>
      <c r="AU51" s="89">
        <f t="shared" si="75"/>
        <v>32.4</v>
      </c>
      <c r="AV51" s="89">
        <f t="shared" si="76"/>
        <v>18</v>
      </c>
      <c r="AW51" s="89">
        <f t="shared" si="77"/>
        <v>0</v>
      </c>
      <c r="AX51" s="89">
        <f t="shared" si="78"/>
        <v>32.4</v>
      </c>
      <c r="AY51" s="89">
        <f t="shared" si="79"/>
        <v>0</v>
      </c>
      <c r="AZ51" s="52">
        <f t="shared" si="8"/>
        <v>0</v>
      </c>
      <c r="BA51" s="90">
        <f t="shared" si="9"/>
        <v>0</v>
      </c>
      <c r="BB51" s="91">
        <f t="shared" si="80"/>
        <v>25</v>
      </c>
      <c r="BC51" s="91">
        <f t="shared" si="10"/>
        <v>0</v>
      </c>
      <c r="BD51" s="91">
        <f t="shared" si="11"/>
        <v>275</v>
      </c>
      <c r="BE51" s="52">
        <f t="shared" si="12"/>
        <v>36</v>
      </c>
      <c r="BF51" s="52">
        <f t="shared" si="13"/>
        <v>0</v>
      </c>
      <c r="BG51" s="90">
        <f t="shared" si="14"/>
        <v>324</v>
      </c>
      <c r="BH51" s="52">
        <f t="shared" si="15"/>
        <v>36</v>
      </c>
      <c r="BI51" s="52">
        <f t="shared" si="16"/>
        <v>0</v>
      </c>
      <c r="BJ51" s="92">
        <f t="shared" si="17"/>
        <v>324</v>
      </c>
      <c r="BK51" s="91">
        <f t="shared" si="18"/>
        <v>36</v>
      </c>
      <c r="BL51" s="91">
        <f t="shared" si="19"/>
        <v>0</v>
      </c>
      <c r="BM51" s="93">
        <f t="shared" si="20"/>
        <v>324</v>
      </c>
      <c r="BN51" s="92">
        <f t="shared" si="81"/>
        <v>36</v>
      </c>
      <c r="BO51" s="92">
        <f t="shared" si="82"/>
        <v>0</v>
      </c>
      <c r="BP51" s="92">
        <f t="shared" si="83"/>
        <v>324</v>
      </c>
      <c r="BQ51" s="91">
        <f t="shared" si="21"/>
        <v>30</v>
      </c>
      <c r="BR51" s="91">
        <f t="shared" si="22"/>
        <v>0</v>
      </c>
      <c r="BS51" s="93">
        <f t="shared" si="23"/>
        <v>270</v>
      </c>
      <c r="BT51" s="91">
        <f t="shared" si="24"/>
        <v>36</v>
      </c>
      <c r="BU51" s="91">
        <f t="shared" si="25"/>
        <v>0</v>
      </c>
      <c r="BV51" s="94">
        <f t="shared" si="26"/>
        <v>324</v>
      </c>
      <c r="BW51" s="52">
        <f t="shared" si="27"/>
        <v>36</v>
      </c>
      <c r="BX51" s="52">
        <f t="shared" si="28"/>
        <v>0</v>
      </c>
      <c r="BY51" s="90">
        <f t="shared" si="29"/>
        <v>324</v>
      </c>
      <c r="BZ51" s="52">
        <f t="shared" si="30"/>
        <v>36</v>
      </c>
      <c r="CA51" s="52">
        <f t="shared" si="31"/>
        <v>0</v>
      </c>
      <c r="CB51" s="90">
        <f t="shared" si="32"/>
        <v>324</v>
      </c>
      <c r="CC51" s="52">
        <f t="shared" si="33"/>
        <v>36</v>
      </c>
      <c r="CD51" s="52">
        <f t="shared" si="34"/>
        <v>0</v>
      </c>
      <c r="CE51" s="90">
        <f t="shared" si="35"/>
        <v>324</v>
      </c>
      <c r="CF51" s="95">
        <f t="shared" si="36"/>
        <v>1</v>
      </c>
      <c r="CG51" s="97">
        <f t="shared" si="36"/>
        <v>1</v>
      </c>
      <c r="CH51" s="97">
        <f t="shared" si="36"/>
        <v>0</v>
      </c>
      <c r="CI51" s="97">
        <f t="shared" si="36"/>
        <v>0</v>
      </c>
      <c r="CJ51" s="97">
        <f t="shared" si="36"/>
        <v>1</v>
      </c>
      <c r="CK51" s="96">
        <f t="shared" si="37"/>
        <v>0</v>
      </c>
      <c r="CL51" s="96">
        <f t="shared" si="37"/>
        <v>0</v>
      </c>
      <c r="CM51" s="96">
        <f t="shared" si="37"/>
        <v>5</v>
      </c>
      <c r="CN51" s="96">
        <f t="shared" si="37"/>
        <v>5</v>
      </c>
      <c r="CO51" s="96">
        <f t="shared" si="37"/>
        <v>0</v>
      </c>
      <c r="CP51" s="96">
        <f t="shared" si="38"/>
        <v>0</v>
      </c>
      <c r="CQ51" s="96">
        <f t="shared" si="38"/>
        <v>0</v>
      </c>
      <c r="CR51" s="96">
        <f t="shared" si="38"/>
        <v>6</v>
      </c>
      <c r="CS51" s="96">
        <f t="shared" si="38"/>
        <v>6</v>
      </c>
      <c r="CT51" s="96">
        <f t="shared" si="38"/>
        <v>0</v>
      </c>
      <c r="CU51" s="96">
        <f t="shared" si="39"/>
        <v>0</v>
      </c>
      <c r="CV51" s="96">
        <f t="shared" si="39"/>
        <v>0</v>
      </c>
      <c r="CW51" s="96">
        <f t="shared" si="39"/>
        <v>6</v>
      </c>
      <c r="CX51" s="96">
        <f t="shared" si="39"/>
        <v>6</v>
      </c>
      <c r="CY51" s="96">
        <f t="shared" si="39"/>
        <v>0</v>
      </c>
      <c r="CZ51" s="96">
        <f t="shared" si="40"/>
        <v>0</v>
      </c>
      <c r="DA51" s="96">
        <f t="shared" si="40"/>
        <v>0</v>
      </c>
      <c r="DB51" s="96">
        <f t="shared" si="40"/>
        <v>6</v>
      </c>
      <c r="DC51" s="96">
        <f t="shared" si="40"/>
        <v>6</v>
      </c>
      <c r="DD51" s="96">
        <f t="shared" si="40"/>
        <v>0</v>
      </c>
      <c r="DE51" s="96">
        <f t="shared" si="84"/>
        <v>0</v>
      </c>
      <c r="DF51" s="96">
        <f t="shared" si="84"/>
        <v>0</v>
      </c>
      <c r="DG51" s="96">
        <f t="shared" si="84"/>
        <v>6</v>
      </c>
      <c r="DH51" s="96">
        <f t="shared" si="84"/>
        <v>6</v>
      </c>
      <c r="DI51" s="96">
        <f t="shared" si="84"/>
        <v>0</v>
      </c>
      <c r="DJ51" s="96">
        <f t="shared" si="41"/>
        <v>0</v>
      </c>
      <c r="DK51" s="96">
        <f t="shared" si="41"/>
        <v>0</v>
      </c>
      <c r="DL51" s="96">
        <f t="shared" si="41"/>
        <v>5</v>
      </c>
      <c r="DM51" s="96">
        <f t="shared" si="41"/>
        <v>6</v>
      </c>
      <c r="DN51" s="96">
        <f t="shared" si="41"/>
        <v>0</v>
      </c>
      <c r="DO51" s="96">
        <f t="shared" si="42"/>
        <v>0</v>
      </c>
      <c r="DP51" s="96">
        <f t="shared" si="42"/>
        <v>0</v>
      </c>
      <c r="DQ51" s="96">
        <f t="shared" si="42"/>
        <v>6</v>
      </c>
      <c r="DR51" s="96">
        <f t="shared" si="42"/>
        <v>6</v>
      </c>
      <c r="DS51" s="96">
        <f t="shared" si="42"/>
        <v>0</v>
      </c>
      <c r="DT51" s="96">
        <f t="shared" si="43"/>
        <v>0</v>
      </c>
      <c r="DU51" s="96">
        <f t="shared" si="43"/>
        <v>0</v>
      </c>
      <c r="DV51" s="96">
        <f t="shared" si="43"/>
        <v>6</v>
      </c>
      <c r="DW51" s="96">
        <f t="shared" si="43"/>
        <v>6</v>
      </c>
      <c r="DX51" s="96">
        <f t="shared" si="43"/>
        <v>0</v>
      </c>
      <c r="DY51" s="97">
        <f t="shared" si="44"/>
        <v>0</v>
      </c>
      <c r="DZ51" s="97">
        <f t="shared" si="44"/>
        <v>0</v>
      </c>
      <c r="EA51" s="97">
        <f t="shared" si="44"/>
        <v>6</v>
      </c>
      <c r="EB51" s="97">
        <f t="shared" si="44"/>
        <v>6</v>
      </c>
      <c r="EC51" s="97">
        <f t="shared" si="44"/>
        <v>0</v>
      </c>
      <c r="ED51" s="96">
        <f t="shared" si="45"/>
        <v>0</v>
      </c>
      <c r="EE51" s="96">
        <f t="shared" si="45"/>
        <v>0</v>
      </c>
      <c r="EF51" s="96">
        <f t="shared" si="45"/>
        <v>6</v>
      </c>
      <c r="EG51" s="96">
        <f t="shared" si="45"/>
        <v>6</v>
      </c>
      <c r="EH51" s="96">
        <f t="shared" si="45"/>
        <v>0</v>
      </c>
      <c r="EI51" s="96">
        <f t="shared" si="46"/>
        <v>0</v>
      </c>
      <c r="EJ51" s="96">
        <f t="shared" si="46"/>
        <v>0</v>
      </c>
      <c r="EK51" s="96">
        <f t="shared" si="46"/>
        <v>1</v>
      </c>
      <c r="EL51" s="96">
        <f t="shared" si="46"/>
        <v>0</v>
      </c>
      <c r="EM51" s="115">
        <f t="shared" si="46"/>
        <v>0</v>
      </c>
      <c r="EN51" s="98">
        <f t="shared" si="85"/>
        <v>1</v>
      </c>
      <c r="EO51" s="98">
        <f t="shared" si="85"/>
        <v>1</v>
      </c>
      <c r="EP51" s="98">
        <f t="shared" si="85"/>
        <v>60</v>
      </c>
      <c r="EQ51" s="98">
        <f t="shared" si="85"/>
        <v>60</v>
      </c>
      <c r="ER51" s="98">
        <f t="shared" si="85"/>
        <v>1</v>
      </c>
    </row>
    <row r="52" spans="1:148" ht="17" thickBot="1" x14ac:dyDescent="0.25">
      <c r="A52" s="19" t="s">
        <v>29</v>
      </c>
      <c r="B52" s="62">
        <v>6</v>
      </c>
      <c r="C52" s="62">
        <v>6</v>
      </c>
      <c r="D52" s="62">
        <v>6</v>
      </c>
      <c r="E52" s="62">
        <v>6</v>
      </c>
      <c r="F52" s="63">
        <v>6</v>
      </c>
      <c r="G52" s="21"/>
      <c r="I52" s="88">
        <f t="shared" si="86"/>
        <v>26</v>
      </c>
      <c r="J52" s="27">
        <v>1</v>
      </c>
      <c r="K52">
        <v>1</v>
      </c>
      <c r="L52">
        <v>0</v>
      </c>
      <c r="M52">
        <v>1</v>
      </c>
      <c r="N52">
        <v>0</v>
      </c>
      <c r="O52">
        <f t="shared" si="3"/>
        <v>4.8627186213991765E-4</v>
      </c>
      <c r="P52" s="74">
        <f t="shared" si="47"/>
        <v>3</v>
      </c>
      <c r="Q52" s="114">
        <f t="shared" si="48"/>
        <v>1.7085277777777781</v>
      </c>
      <c r="R52" s="89">
        <f t="shared" si="4"/>
        <v>0</v>
      </c>
      <c r="S52" s="52">
        <f t="shared" si="5"/>
        <v>0</v>
      </c>
      <c r="T52" s="90">
        <f t="shared" si="6"/>
        <v>0</v>
      </c>
      <c r="U52" s="89">
        <f t="shared" si="49"/>
        <v>500</v>
      </c>
      <c r="V52" s="89">
        <f t="shared" si="50"/>
        <v>2750</v>
      </c>
      <c r="W52" s="89">
        <f t="shared" si="51"/>
        <v>0</v>
      </c>
      <c r="X52" s="89">
        <f t="shared" si="52"/>
        <v>180</v>
      </c>
      <c r="Y52" s="89">
        <f t="shared" si="53"/>
        <v>972</v>
      </c>
      <c r="Z52" s="89">
        <f t="shared" si="54"/>
        <v>0</v>
      </c>
      <c r="AA52" s="89">
        <f t="shared" si="55"/>
        <v>108</v>
      </c>
      <c r="AB52" s="89">
        <f t="shared" si="56"/>
        <v>648</v>
      </c>
      <c r="AC52" s="89">
        <f t="shared" si="57"/>
        <v>0</v>
      </c>
      <c r="AD52" s="89">
        <f t="shared" si="58"/>
        <v>72</v>
      </c>
      <c r="AE52" s="89">
        <f t="shared" si="59"/>
        <v>324</v>
      </c>
      <c r="AF52" s="89">
        <f t="shared" si="60"/>
        <v>0</v>
      </c>
      <c r="AG52" s="89">
        <f t="shared" si="61"/>
        <v>36</v>
      </c>
      <c r="AH52" s="89">
        <f t="shared" si="62"/>
        <v>162</v>
      </c>
      <c r="AI52" s="89">
        <f t="shared" si="63"/>
        <v>0</v>
      </c>
      <c r="AJ52" s="89">
        <f t="shared" si="64"/>
        <v>12.5</v>
      </c>
      <c r="AK52" s="89">
        <f t="shared" si="65"/>
        <v>55</v>
      </c>
      <c r="AL52" s="89">
        <f t="shared" si="66"/>
        <v>0</v>
      </c>
      <c r="AM52" s="89">
        <f t="shared" si="67"/>
        <v>18</v>
      </c>
      <c r="AN52" s="89">
        <f t="shared" si="68"/>
        <v>64.8</v>
      </c>
      <c r="AO52" s="89">
        <f t="shared" si="69"/>
        <v>0</v>
      </c>
      <c r="AP52" s="89">
        <f t="shared" si="70"/>
        <v>18</v>
      </c>
      <c r="AQ52" s="89">
        <f t="shared" si="71"/>
        <v>64.8</v>
      </c>
      <c r="AR52" s="89">
        <f t="shared" si="72"/>
        <v>0</v>
      </c>
      <c r="AS52" s="89">
        <f t="shared" si="73"/>
        <v>18</v>
      </c>
      <c r="AT52" s="89">
        <f t="shared" si="74"/>
        <v>64.8</v>
      </c>
      <c r="AU52" s="89">
        <f t="shared" si="75"/>
        <v>0</v>
      </c>
      <c r="AV52" s="89">
        <f t="shared" si="76"/>
        <v>18</v>
      </c>
      <c r="AW52" s="89">
        <f t="shared" si="77"/>
        <v>64.8</v>
      </c>
      <c r="AX52" s="89">
        <f t="shared" si="78"/>
        <v>0</v>
      </c>
      <c r="AY52" s="89">
        <f t="shared" si="79"/>
        <v>0</v>
      </c>
      <c r="AZ52" s="52">
        <f t="shared" si="8"/>
        <v>0</v>
      </c>
      <c r="BA52" s="90">
        <f t="shared" si="9"/>
        <v>0</v>
      </c>
      <c r="BB52" s="91">
        <f t="shared" si="80"/>
        <v>25</v>
      </c>
      <c r="BC52" s="91">
        <f t="shared" si="10"/>
        <v>275</v>
      </c>
      <c r="BD52" s="91">
        <f t="shared" si="11"/>
        <v>0</v>
      </c>
      <c r="BE52" s="52">
        <f t="shared" si="12"/>
        <v>36</v>
      </c>
      <c r="BF52" s="52">
        <f t="shared" si="13"/>
        <v>324</v>
      </c>
      <c r="BG52" s="90">
        <f t="shared" si="14"/>
        <v>0</v>
      </c>
      <c r="BH52" s="52">
        <f t="shared" si="15"/>
        <v>36</v>
      </c>
      <c r="BI52" s="52">
        <f t="shared" si="16"/>
        <v>324</v>
      </c>
      <c r="BJ52" s="92">
        <f t="shared" si="17"/>
        <v>0</v>
      </c>
      <c r="BK52" s="91">
        <f t="shared" si="18"/>
        <v>36</v>
      </c>
      <c r="BL52" s="91">
        <f t="shared" si="19"/>
        <v>324</v>
      </c>
      <c r="BM52" s="93">
        <f t="shared" si="20"/>
        <v>0</v>
      </c>
      <c r="BN52" s="92">
        <f t="shared" si="81"/>
        <v>36</v>
      </c>
      <c r="BO52" s="92">
        <f t="shared" si="82"/>
        <v>324</v>
      </c>
      <c r="BP52" s="92">
        <f t="shared" si="83"/>
        <v>0</v>
      </c>
      <c r="BQ52" s="91">
        <f t="shared" si="21"/>
        <v>25</v>
      </c>
      <c r="BR52" s="91">
        <f t="shared" si="22"/>
        <v>275</v>
      </c>
      <c r="BS52" s="93">
        <f t="shared" si="23"/>
        <v>0</v>
      </c>
      <c r="BT52" s="91">
        <f t="shared" si="24"/>
        <v>36</v>
      </c>
      <c r="BU52" s="91">
        <f t="shared" si="25"/>
        <v>324</v>
      </c>
      <c r="BV52" s="94">
        <f t="shared" si="26"/>
        <v>0</v>
      </c>
      <c r="BW52" s="52">
        <f t="shared" si="27"/>
        <v>36</v>
      </c>
      <c r="BX52" s="52">
        <f t="shared" si="28"/>
        <v>324</v>
      </c>
      <c r="BY52" s="90">
        <f t="shared" si="29"/>
        <v>0</v>
      </c>
      <c r="BZ52" s="52">
        <f t="shared" si="30"/>
        <v>36</v>
      </c>
      <c r="CA52" s="52">
        <f t="shared" si="31"/>
        <v>324</v>
      </c>
      <c r="CB52" s="90">
        <f t="shared" si="32"/>
        <v>0</v>
      </c>
      <c r="CC52" s="52">
        <f t="shared" si="33"/>
        <v>36</v>
      </c>
      <c r="CD52" s="52">
        <f t="shared" si="34"/>
        <v>324</v>
      </c>
      <c r="CE52" s="90">
        <f t="shared" si="35"/>
        <v>0</v>
      </c>
      <c r="CF52" s="95">
        <f t="shared" si="36"/>
        <v>1</v>
      </c>
      <c r="CG52" s="97">
        <f t="shared" si="36"/>
        <v>1</v>
      </c>
      <c r="CH52" s="97">
        <f t="shared" si="36"/>
        <v>0</v>
      </c>
      <c r="CI52" s="97">
        <f t="shared" si="36"/>
        <v>1</v>
      </c>
      <c r="CJ52" s="97">
        <f t="shared" si="36"/>
        <v>0</v>
      </c>
      <c r="CK52" s="96">
        <f t="shared" si="37"/>
        <v>0</v>
      </c>
      <c r="CL52" s="96">
        <f t="shared" si="37"/>
        <v>0</v>
      </c>
      <c r="CM52" s="96">
        <f t="shared" si="37"/>
        <v>5</v>
      </c>
      <c r="CN52" s="96">
        <f t="shared" si="37"/>
        <v>0</v>
      </c>
      <c r="CO52" s="96">
        <f t="shared" si="37"/>
        <v>5</v>
      </c>
      <c r="CP52" s="96">
        <f t="shared" si="38"/>
        <v>0</v>
      </c>
      <c r="CQ52" s="96">
        <f t="shared" si="38"/>
        <v>0</v>
      </c>
      <c r="CR52" s="96">
        <f t="shared" si="38"/>
        <v>6</v>
      </c>
      <c r="CS52" s="96">
        <f t="shared" si="38"/>
        <v>0</v>
      </c>
      <c r="CT52" s="96">
        <f t="shared" si="38"/>
        <v>6</v>
      </c>
      <c r="CU52" s="96">
        <f t="shared" si="39"/>
        <v>0</v>
      </c>
      <c r="CV52" s="96">
        <f t="shared" si="39"/>
        <v>0</v>
      </c>
      <c r="CW52" s="96">
        <f t="shared" si="39"/>
        <v>6</v>
      </c>
      <c r="CX52" s="96">
        <f t="shared" si="39"/>
        <v>0</v>
      </c>
      <c r="CY52" s="96">
        <f t="shared" si="39"/>
        <v>6</v>
      </c>
      <c r="CZ52" s="96">
        <f t="shared" si="40"/>
        <v>0</v>
      </c>
      <c r="DA52" s="96">
        <f t="shared" si="40"/>
        <v>0</v>
      </c>
      <c r="DB52" s="96">
        <f t="shared" si="40"/>
        <v>6</v>
      </c>
      <c r="DC52" s="96">
        <f t="shared" si="40"/>
        <v>0</v>
      </c>
      <c r="DD52" s="96">
        <f t="shared" si="40"/>
        <v>6</v>
      </c>
      <c r="DE52" s="96">
        <f t="shared" si="84"/>
        <v>0</v>
      </c>
      <c r="DF52" s="96">
        <f t="shared" si="84"/>
        <v>0</v>
      </c>
      <c r="DG52" s="96">
        <f t="shared" si="84"/>
        <v>6</v>
      </c>
      <c r="DH52" s="96">
        <f t="shared" si="84"/>
        <v>0</v>
      </c>
      <c r="DI52" s="96">
        <f t="shared" si="84"/>
        <v>6</v>
      </c>
      <c r="DJ52" s="96">
        <f t="shared" si="41"/>
        <v>0</v>
      </c>
      <c r="DK52" s="96">
        <f t="shared" si="41"/>
        <v>0</v>
      </c>
      <c r="DL52" s="96">
        <f t="shared" si="41"/>
        <v>5</v>
      </c>
      <c r="DM52" s="96">
        <f t="shared" si="41"/>
        <v>0</v>
      </c>
      <c r="DN52" s="96">
        <f t="shared" si="41"/>
        <v>5</v>
      </c>
      <c r="DO52" s="96">
        <f t="shared" si="42"/>
        <v>0</v>
      </c>
      <c r="DP52" s="96">
        <f t="shared" si="42"/>
        <v>0</v>
      </c>
      <c r="DQ52" s="96">
        <f t="shared" si="42"/>
        <v>6</v>
      </c>
      <c r="DR52" s="96">
        <f t="shared" si="42"/>
        <v>0</v>
      </c>
      <c r="DS52" s="96">
        <f t="shared" si="42"/>
        <v>6</v>
      </c>
      <c r="DT52" s="96">
        <f t="shared" si="43"/>
        <v>0</v>
      </c>
      <c r="DU52" s="96">
        <f t="shared" si="43"/>
        <v>0</v>
      </c>
      <c r="DV52" s="96">
        <f t="shared" si="43"/>
        <v>6</v>
      </c>
      <c r="DW52" s="96">
        <f t="shared" si="43"/>
        <v>0</v>
      </c>
      <c r="DX52" s="96">
        <f t="shared" si="43"/>
        <v>6</v>
      </c>
      <c r="DY52" s="97">
        <f t="shared" si="44"/>
        <v>0</v>
      </c>
      <c r="DZ52" s="97">
        <f t="shared" si="44"/>
        <v>0</v>
      </c>
      <c r="EA52" s="97">
        <f t="shared" si="44"/>
        <v>6</v>
      </c>
      <c r="EB52" s="97">
        <f t="shared" si="44"/>
        <v>0</v>
      </c>
      <c r="EC52" s="97">
        <f t="shared" si="44"/>
        <v>6</v>
      </c>
      <c r="ED52" s="96">
        <f t="shared" si="45"/>
        <v>0</v>
      </c>
      <c r="EE52" s="96">
        <f t="shared" si="45"/>
        <v>0</v>
      </c>
      <c r="EF52" s="96">
        <f t="shared" si="45"/>
        <v>6</v>
      </c>
      <c r="EG52" s="96">
        <f t="shared" si="45"/>
        <v>0</v>
      </c>
      <c r="EH52" s="96">
        <f t="shared" si="45"/>
        <v>6</v>
      </c>
      <c r="EI52" s="96">
        <f t="shared" si="46"/>
        <v>0</v>
      </c>
      <c r="EJ52" s="96">
        <f t="shared" si="46"/>
        <v>0</v>
      </c>
      <c r="EK52" s="96">
        <f t="shared" si="46"/>
        <v>1</v>
      </c>
      <c r="EL52" s="96">
        <f t="shared" si="46"/>
        <v>0</v>
      </c>
      <c r="EM52" s="115">
        <f t="shared" si="46"/>
        <v>1</v>
      </c>
      <c r="EN52" s="98">
        <f t="shared" si="85"/>
        <v>1</v>
      </c>
      <c r="EO52" s="98">
        <f t="shared" si="85"/>
        <v>1</v>
      </c>
      <c r="EP52" s="98">
        <f t="shared" si="85"/>
        <v>60</v>
      </c>
      <c r="EQ52" s="98">
        <f t="shared" si="85"/>
        <v>1</v>
      </c>
      <c r="ER52" s="98">
        <f t="shared" si="85"/>
        <v>60</v>
      </c>
    </row>
    <row r="53" spans="1:148" ht="17" thickBot="1" x14ac:dyDescent="0.25">
      <c r="A53" s="19" t="s">
        <v>30</v>
      </c>
      <c r="B53" s="62">
        <v>1</v>
      </c>
      <c r="C53" s="62">
        <v>0</v>
      </c>
      <c r="D53" s="62">
        <v>1</v>
      </c>
      <c r="E53" s="62">
        <v>0</v>
      </c>
      <c r="F53" s="63">
        <v>1</v>
      </c>
      <c r="G53" s="21"/>
      <c r="I53" s="88">
        <f t="shared" si="86"/>
        <v>27</v>
      </c>
      <c r="J53" s="27">
        <v>1</v>
      </c>
      <c r="K53">
        <v>1</v>
      </c>
      <c r="L53">
        <v>0</v>
      </c>
      <c r="M53">
        <v>1</v>
      </c>
      <c r="N53">
        <v>1</v>
      </c>
      <c r="O53">
        <f t="shared" si="3"/>
        <v>4.4206532921810695E-5</v>
      </c>
      <c r="P53" s="74">
        <f t="shared" si="47"/>
        <v>4</v>
      </c>
      <c r="Q53" s="114">
        <f t="shared" si="48"/>
        <v>3.0083333333333333</v>
      </c>
      <c r="R53" s="89">
        <f t="shared" si="4"/>
        <v>0</v>
      </c>
      <c r="S53" s="52">
        <f t="shared" si="5"/>
        <v>0</v>
      </c>
      <c r="T53" s="90">
        <f t="shared" si="6"/>
        <v>0</v>
      </c>
      <c r="U53" s="89">
        <f t="shared" si="49"/>
        <v>100</v>
      </c>
      <c r="V53" s="89">
        <f t="shared" si="50"/>
        <v>0</v>
      </c>
      <c r="W53" s="89">
        <f t="shared" si="51"/>
        <v>0</v>
      </c>
      <c r="X53" s="89">
        <f t="shared" si="52"/>
        <v>30</v>
      </c>
      <c r="Y53" s="89">
        <f t="shared" si="53"/>
        <v>0</v>
      </c>
      <c r="Z53" s="89">
        <f t="shared" si="54"/>
        <v>0</v>
      </c>
      <c r="AA53" s="89">
        <f t="shared" si="55"/>
        <v>18</v>
      </c>
      <c r="AB53" s="89">
        <f t="shared" si="56"/>
        <v>0</v>
      </c>
      <c r="AC53" s="89">
        <f t="shared" si="57"/>
        <v>0</v>
      </c>
      <c r="AD53" s="89">
        <f t="shared" si="58"/>
        <v>12</v>
      </c>
      <c r="AE53" s="89">
        <f t="shared" si="59"/>
        <v>0</v>
      </c>
      <c r="AF53" s="89">
        <f t="shared" si="60"/>
        <v>0</v>
      </c>
      <c r="AG53" s="89">
        <f t="shared" si="61"/>
        <v>6</v>
      </c>
      <c r="AH53" s="89">
        <f t="shared" si="62"/>
        <v>0</v>
      </c>
      <c r="AI53" s="89">
        <f t="shared" si="63"/>
        <v>0</v>
      </c>
      <c r="AJ53" s="89">
        <f t="shared" si="64"/>
        <v>2.5</v>
      </c>
      <c r="AK53" s="89">
        <f t="shared" si="65"/>
        <v>0</v>
      </c>
      <c r="AL53" s="89">
        <f t="shared" si="66"/>
        <v>0</v>
      </c>
      <c r="AM53" s="89">
        <f t="shared" si="67"/>
        <v>3</v>
      </c>
      <c r="AN53" s="89">
        <f t="shared" si="68"/>
        <v>0</v>
      </c>
      <c r="AO53" s="89">
        <f t="shared" si="69"/>
        <v>0</v>
      </c>
      <c r="AP53" s="89">
        <f t="shared" si="70"/>
        <v>3</v>
      </c>
      <c r="AQ53" s="89">
        <f t="shared" si="71"/>
        <v>0</v>
      </c>
      <c r="AR53" s="89">
        <f t="shared" si="72"/>
        <v>0</v>
      </c>
      <c r="AS53" s="89">
        <f t="shared" si="73"/>
        <v>3</v>
      </c>
      <c r="AT53" s="89">
        <f t="shared" si="74"/>
        <v>0</v>
      </c>
      <c r="AU53" s="89">
        <f t="shared" si="75"/>
        <v>0</v>
      </c>
      <c r="AV53" s="89">
        <f t="shared" si="76"/>
        <v>3</v>
      </c>
      <c r="AW53" s="89">
        <f t="shared" si="77"/>
        <v>0</v>
      </c>
      <c r="AX53" s="89">
        <f t="shared" si="78"/>
        <v>0</v>
      </c>
      <c r="AY53" s="89">
        <f t="shared" si="79"/>
        <v>0</v>
      </c>
      <c r="AZ53" s="52">
        <f t="shared" si="8"/>
        <v>0</v>
      </c>
      <c r="BA53" s="90">
        <f t="shared" si="9"/>
        <v>0</v>
      </c>
      <c r="BB53" s="91">
        <f t="shared" si="80"/>
        <v>5</v>
      </c>
      <c r="BC53" s="91">
        <f t="shared" si="10"/>
        <v>0</v>
      </c>
      <c r="BD53" s="91">
        <f t="shared" si="11"/>
        <v>0</v>
      </c>
      <c r="BE53" s="52">
        <f t="shared" si="12"/>
        <v>6</v>
      </c>
      <c r="BF53" s="52">
        <f t="shared" si="13"/>
        <v>0</v>
      </c>
      <c r="BG53" s="90">
        <f t="shared" si="14"/>
        <v>0</v>
      </c>
      <c r="BH53" s="52">
        <f t="shared" si="15"/>
        <v>6</v>
      </c>
      <c r="BI53" s="52">
        <f t="shared" si="16"/>
        <v>0</v>
      </c>
      <c r="BJ53" s="92">
        <f t="shared" si="17"/>
        <v>0</v>
      </c>
      <c r="BK53" s="91">
        <f t="shared" si="18"/>
        <v>6</v>
      </c>
      <c r="BL53" s="91">
        <f t="shared" si="19"/>
        <v>0</v>
      </c>
      <c r="BM53" s="93">
        <f t="shared" si="20"/>
        <v>0</v>
      </c>
      <c r="BN53" s="92">
        <f t="shared" si="81"/>
        <v>6</v>
      </c>
      <c r="BO53" s="92">
        <f t="shared" si="82"/>
        <v>0</v>
      </c>
      <c r="BP53" s="92">
        <f t="shared" si="83"/>
        <v>0</v>
      </c>
      <c r="BQ53" s="91">
        <f t="shared" si="21"/>
        <v>5</v>
      </c>
      <c r="BR53" s="91">
        <f t="shared" si="22"/>
        <v>0</v>
      </c>
      <c r="BS53" s="93">
        <f t="shared" si="23"/>
        <v>0</v>
      </c>
      <c r="BT53" s="91">
        <f t="shared" si="24"/>
        <v>6</v>
      </c>
      <c r="BU53" s="91">
        <f t="shared" si="25"/>
        <v>0</v>
      </c>
      <c r="BV53" s="94">
        <f t="shared" si="26"/>
        <v>0</v>
      </c>
      <c r="BW53" s="52">
        <f t="shared" si="27"/>
        <v>6</v>
      </c>
      <c r="BX53" s="52">
        <f t="shared" si="28"/>
        <v>0</v>
      </c>
      <c r="BY53" s="90">
        <f t="shared" si="29"/>
        <v>0</v>
      </c>
      <c r="BZ53" s="52">
        <f t="shared" si="30"/>
        <v>6</v>
      </c>
      <c r="CA53" s="52">
        <f t="shared" si="31"/>
        <v>0</v>
      </c>
      <c r="CB53" s="90">
        <f t="shared" si="32"/>
        <v>0</v>
      </c>
      <c r="CC53" s="52">
        <f t="shared" si="33"/>
        <v>6</v>
      </c>
      <c r="CD53" s="52">
        <f t="shared" si="34"/>
        <v>0</v>
      </c>
      <c r="CE53" s="90">
        <f t="shared" si="35"/>
        <v>0</v>
      </c>
      <c r="CF53" s="95">
        <f t="shared" si="36"/>
        <v>1</v>
      </c>
      <c r="CG53" s="97">
        <f t="shared" si="36"/>
        <v>1</v>
      </c>
      <c r="CH53" s="97">
        <f t="shared" si="36"/>
        <v>0</v>
      </c>
      <c r="CI53" s="97">
        <f t="shared" si="36"/>
        <v>1</v>
      </c>
      <c r="CJ53" s="97">
        <f t="shared" si="36"/>
        <v>1</v>
      </c>
      <c r="CK53" s="96">
        <f t="shared" si="37"/>
        <v>0</v>
      </c>
      <c r="CL53" s="96">
        <f t="shared" si="37"/>
        <v>0</v>
      </c>
      <c r="CM53" s="96">
        <f t="shared" si="37"/>
        <v>5</v>
      </c>
      <c r="CN53" s="96">
        <f t="shared" si="37"/>
        <v>0</v>
      </c>
      <c r="CO53" s="96">
        <f t="shared" si="37"/>
        <v>0</v>
      </c>
      <c r="CP53" s="96">
        <f t="shared" si="38"/>
        <v>0</v>
      </c>
      <c r="CQ53" s="96">
        <f t="shared" si="38"/>
        <v>0</v>
      </c>
      <c r="CR53" s="96">
        <f t="shared" si="38"/>
        <v>6</v>
      </c>
      <c r="CS53" s="96">
        <f t="shared" si="38"/>
        <v>0</v>
      </c>
      <c r="CT53" s="96">
        <f t="shared" si="38"/>
        <v>0</v>
      </c>
      <c r="CU53" s="96">
        <f t="shared" si="39"/>
        <v>0</v>
      </c>
      <c r="CV53" s="96">
        <f t="shared" si="39"/>
        <v>0</v>
      </c>
      <c r="CW53" s="96">
        <f t="shared" si="39"/>
        <v>6</v>
      </c>
      <c r="CX53" s="96">
        <f t="shared" si="39"/>
        <v>0</v>
      </c>
      <c r="CY53" s="96">
        <f t="shared" si="39"/>
        <v>0</v>
      </c>
      <c r="CZ53" s="96">
        <f t="shared" si="40"/>
        <v>0</v>
      </c>
      <c r="DA53" s="96">
        <f t="shared" si="40"/>
        <v>0</v>
      </c>
      <c r="DB53" s="96">
        <f t="shared" si="40"/>
        <v>6</v>
      </c>
      <c r="DC53" s="96">
        <f t="shared" si="40"/>
        <v>0</v>
      </c>
      <c r="DD53" s="96">
        <f t="shared" si="40"/>
        <v>0</v>
      </c>
      <c r="DE53" s="96">
        <f t="shared" si="84"/>
        <v>0</v>
      </c>
      <c r="DF53" s="96">
        <f t="shared" si="84"/>
        <v>0</v>
      </c>
      <c r="DG53" s="96">
        <f t="shared" si="84"/>
        <v>6</v>
      </c>
      <c r="DH53" s="96">
        <f t="shared" si="84"/>
        <v>0</v>
      </c>
      <c r="DI53" s="96">
        <f t="shared" si="84"/>
        <v>0</v>
      </c>
      <c r="DJ53" s="96">
        <f t="shared" si="41"/>
        <v>0</v>
      </c>
      <c r="DK53" s="96">
        <f t="shared" si="41"/>
        <v>0</v>
      </c>
      <c r="DL53" s="96">
        <f t="shared" si="41"/>
        <v>5</v>
      </c>
      <c r="DM53" s="96">
        <f t="shared" si="41"/>
        <v>0</v>
      </c>
      <c r="DN53" s="96">
        <f t="shared" si="41"/>
        <v>0</v>
      </c>
      <c r="DO53" s="96">
        <f t="shared" si="42"/>
        <v>0</v>
      </c>
      <c r="DP53" s="96">
        <f t="shared" si="42"/>
        <v>0</v>
      </c>
      <c r="DQ53" s="96">
        <f t="shared" si="42"/>
        <v>6</v>
      </c>
      <c r="DR53" s="96">
        <f t="shared" si="42"/>
        <v>0</v>
      </c>
      <c r="DS53" s="96">
        <f t="shared" si="42"/>
        <v>0</v>
      </c>
      <c r="DT53" s="96">
        <f t="shared" si="43"/>
        <v>0</v>
      </c>
      <c r="DU53" s="96">
        <f t="shared" si="43"/>
        <v>0</v>
      </c>
      <c r="DV53" s="96">
        <f t="shared" si="43"/>
        <v>6</v>
      </c>
      <c r="DW53" s="96">
        <f t="shared" si="43"/>
        <v>0</v>
      </c>
      <c r="DX53" s="96">
        <f t="shared" si="43"/>
        <v>0</v>
      </c>
      <c r="DY53" s="97">
        <f t="shared" si="44"/>
        <v>0</v>
      </c>
      <c r="DZ53" s="97">
        <f t="shared" si="44"/>
        <v>0</v>
      </c>
      <c r="EA53" s="97">
        <f t="shared" si="44"/>
        <v>6</v>
      </c>
      <c r="EB53" s="97">
        <f t="shared" si="44"/>
        <v>0</v>
      </c>
      <c r="EC53" s="97">
        <f t="shared" si="44"/>
        <v>0</v>
      </c>
      <c r="ED53" s="96">
        <f t="shared" si="45"/>
        <v>0</v>
      </c>
      <c r="EE53" s="96">
        <f t="shared" si="45"/>
        <v>0</v>
      </c>
      <c r="EF53" s="96">
        <f t="shared" si="45"/>
        <v>6</v>
      </c>
      <c r="EG53" s="96">
        <f t="shared" si="45"/>
        <v>0</v>
      </c>
      <c r="EH53" s="96">
        <f t="shared" si="45"/>
        <v>0</v>
      </c>
      <c r="EI53" s="96">
        <f t="shared" si="46"/>
        <v>0</v>
      </c>
      <c r="EJ53" s="96">
        <f t="shared" si="46"/>
        <v>0</v>
      </c>
      <c r="EK53" s="96">
        <f t="shared" si="46"/>
        <v>1</v>
      </c>
      <c r="EL53" s="96">
        <f t="shared" si="46"/>
        <v>0</v>
      </c>
      <c r="EM53" s="115">
        <f t="shared" si="46"/>
        <v>0</v>
      </c>
      <c r="EN53" s="98">
        <f t="shared" si="85"/>
        <v>1</v>
      </c>
      <c r="EO53" s="98">
        <f t="shared" si="85"/>
        <v>1</v>
      </c>
      <c r="EP53" s="98">
        <f t="shared" si="85"/>
        <v>60</v>
      </c>
      <c r="EQ53" s="98">
        <f t="shared" si="85"/>
        <v>1</v>
      </c>
      <c r="ER53" s="98">
        <f t="shared" si="85"/>
        <v>1</v>
      </c>
    </row>
    <row r="54" spans="1:148" ht="17" thickBot="1" x14ac:dyDescent="0.25">
      <c r="A54" s="19" t="s">
        <v>31</v>
      </c>
      <c r="B54" s="62">
        <v>1</v>
      </c>
      <c r="C54" s="62">
        <v>1</v>
      </c>
      <c r="D54" s="62">
        <v>1</v>
      </c>
      <c r="E54" s="62">
        <v>1</v>
      </c>
      <c r="F54" s="63">
        <v>1</v>
      </c>
      <c r="G54" s="21"/>
      <c r="I54" s="88">
        <f t="shared" si="86"/>
        <v>28</v>
      </c>
      <c r="J54" s="27">
        <v>1</v>
      </c>
      <c r="K54">
        <v>1</v>
      </c>
      <c r="L54">
        <v>1</v>
      </c>
      <c r="M54">
        <v>0</v>
      </c>
      <c r="N54">
        <v>0</v>
      </c>
      <c r="O54">
        <f t="shared" si="3"/>
        <v>4.8627186213991765E-4</v>
      </c>
      <c r="P54" s="74">
        <f t="shared" si="47"/>
        <v>3</v>
      </c>
      <c r="Q54" s="114">
        <f t="shared" si="48"/>
        <v>1.712277777777778</v>
      </c>
      <c r="R54" s="89">
        <f t="shared" si="4"/>
        <v>0</v>
      </c>
      <c r="S54" s="52">
        <f t="shared" si="5"/>
        <v>0</v>
      </c>
      <c r="T54" s="90">
        <f t="shared" si="6"/>
        <v>0</v>
      </c>
      <c r="U54" s="89">
        <f t="shared" si="49"/>
        <v>500</v>
      </c>
      <c r="V54" s="89">
        <f t="shared" si="50"/>
        <v>2750</v>
      </c>
      <c r="W54" s="89">
        <f t="shared" si="51"/>
        <v>0</v>
      </c>
      <c r="X54" s="89">
        <f t="shared" si="52"/>
        <v>180</v>
      </c>
      <c r="Y54" s="89">
        <f t="shared" si="53"/>
        <v>972</v>
      </c>
      <c r="Z54" s="89">
        <f t="shared" si="54"/>
        <v>0</v>
      </c>
      <c r="AA54" s="89">
        <f t="shared" si="55"/>
        <v>108</v>
      </c>
      <c r="AB54" s="89">
        <f t="shared" si="56"/>
        <v>648</v>
      </c>
      <c r="AC54" s="89">
        <f t="shared" si="57"/>
        <v>0</v>
      </c>
      <c r="AD54" s="89">
        <f t="shared" si="58"/>
        <v>72</v>
      </c>
      <c r="AE54" s="89">
        <f t="shared" si="59"/>
        <v>324</v>
      </c>
      <c r="AF54" s="89">
        <f t="shared" si="60"/>
        <v>0</v>
      </c>
      <c r="AG54" s="89">
        <f t="shared" si="61"/>
        <v>36</v>
      </c>
      <c r="AH54" s="89">
        <f t="shared" si="62"/>
        <v>162</v>
      </c>
      <c r="AI54" s="89">
        <f t="shared" si="63"/>
        <v>0</v>
      </c>
      <c r="AJ54" s="89">
        <f t="shared" si="64"/>
        <v>15</v>
      </c>
      <c r="AK54" s="89">
        <f t="shared" si="65"/>
        <v>66</v>
      </c>
      <c r="AL54" s="89">
        <f t="shared" si="66"/>
        <v>0</v>
      </c>
      <c r="AM54" s="89">
        <f t="shared" si="67"/>
        <v>18</v>
      </c>
      <c r="AN54" s="89">
        <f t="shared" si="68"/>
        <v>64.8</v>
      </c>
      <c r="AO54" s="89">
        <f t="shared" si="69"/>
        <v>0</v>
      </c>
      <c r="AP54" s="89">
        <f t="shared" si="70"/>
        <v>18</v>
      </c>
      <c r="AQ54" s="89">
        <f t="shared" si="71"/>
        <v>64.8</v>
      </c>
      <c r="AR54" s="89">
        <f t="shared" si="72"/>
        <v>0</v>
      </c>
      <c r="AS54" s="89">
        <f t="shared" si="73"/>
        <v>18</v>
      </c>
      <c r="AT54" s="89">
        <f t="shared" si="74"/>
        <v>64.8</v>
      </c>
      <c r="AU54" s="89">
        <f t="shared" si="75"/>
        <v>0</v>
      </c>
      <c r="AV54" s="89">
        <f t="shared" si="76"/>
        <v>18</v>
      </c>
      <c r="AW54" s="89">
        <f t="shared" si="77"/>
        <v>64.8</v>
      </c>
      <c r="AX54" s="89">
        <f t="shared" si="78"/>
        <v>0</v>
      </c>
      <c r="AY54" s="89">
        <f t="shared" si="79"/>
        <v>0</v>
      </c>
      <c r="AZ54" s="52">
        <f t="shared" si="8"/>
        <v>0</v>
      </c>
      <c r="BA54" s="90">
        <f t="shared" si="9"/>
        <v>0</v>
      </c>
      <c r="BB54" s="91">
        <f t="shared" si="80"/>
        <v>25</v>
      </c>
      <c r="BC54" s="91">
        <f t="shared" si="10"/>
        <v>275</v>
      </c>
      <c r="BD54" s="91">
        <f t="shared" si="11"/>
        <v>0</v>
      </c>
      <c r="BE54" s="52">
        <f t="shared" si="12"/>
        <v>36</v>
      </c>
      <c r="BF54" s="52">
        <f t="shared" si="13"/>
        <v>324</v>
      </c>
      <c r="BG54" s="90">
        <f t="shared" si="14"/>
        <v>0</v>
      </c>
      <c r="BH54" s="52">
        <f t="shared" si="15"/>
        <v>36</v>
      </c>
      <c r="BI54" s="52">
        <f t="shared" si="16"/>
        <v>324</v>
      </c>
      <c r="BJ54" s="92">
        <f t="shared" si="17"/>
        <v>0</v>
      </c>
      <c r="BK54" s="91">
        <f t="shared" si="18"/>
        <v>36</v>
      </c>
      <c r="BL54" s="91">
        <f t="shared" si="19"/>
        <v>324</v>
      </c>
      <c r="BM54" s="93">
        <f t="shared" si="20"/>
        <v>0</v>
      </c>
      <c r="BN54" s="92">
        <f t="shared" si="81"/>
        <v>36</v>
      </c>
      <c r="BO54" s="92">
        <f t="shared" si="82"/>
        <v>324</v>
      </c>
      <c r="BP54" s="92">
        <f t="shared" si="83"/>
        <v>0</v>
      </c>
      <c r="BQ54" s="91">
        <f t="shared" si="21"/>
        <v>30</v>
      </c>
      <c r="BR54" s="91">
        <f t="shared" si="22"/>
        <v>330</v>
      </c>
      <c r="BS54" s="93">
        <f t="shared" si="23"/>
        <v>0</v>
      </c>
      <c r="BT54" s="91">
        <f t="shared" si="24"/>
        <v>36</v>
      </c>
      <c r="BU54" s="91">
        <f t="shared" si="25"/>
        <v>324</v>
      </c>
      <c r="BV54" s="94">
        <f t="shared" si="26"/>
        <v>0</v>
      </c>
      <c r="BW54" s="52">
        <f t="shared" si="27"/>
        <v>36</v>
      </c>
      <c r="BX54" s="52">
        <f t="shared" si="28"/>
        <v>324</v>
      </c>
      <c r="BY54" s="90">
        <f t="shared" si="29"/>
        <v>0</v>
      </c>
      <c r="BZ54" s="52">
        <f t="shared" si="30"/>
        <v>36</v>
      </c>
      <c r="CA54" s="52">
        <f t="shared" si="31"/>
        <v>324</v>
      </c>
      <c r="CB54" s="90">
        <f t="shared" si="32"/>
        <v>0</v>
      </c>
      <c r="CC54" s="52">
        <f t="shared" si="33"/>
        <v>36</v>
      </c>
      <c r="CD54" s="52">
        <f t="shared" si="34"/>
        <v>324</v>
      </c>
      <c r="CE54" s="90">
        <f t="shared" si="35"/>
        <v>0</v>
      </c>
      <c r="CF54" s="95">
        <f t="shared" si="36"/>
        <v>1</v>
      </c>
      <c r="CG54" s="97">
        <f t="shared" si="36"/>
        <v>1</v>
      </c>
      <c r="CH54" s="97">
        <f t="shared" si="36"/>
        <v>1</v>
      </c>
      <c r="CI54" s="97">
        <f t="shared" si="36"/>
        <v>0</v>
      </c>
      <c r="CJ54" s="97">
        <f t="shared" si="36"/>
        <v>0</v>
      </c>
      <c r="CK54" s="96">
        <f t="shared" si="37"/>
        <v>0</v>
      </c>
      <c r="CL54" s="96">
        <f t="shared" si="37"/>
        <v>0</v>
      </c>
      <c r="CM54" s="96">
        <f t="shared" si="37"/>
        <v>0</v>
      </c>
      <c r="CN54" s="96">
        <f t="shared" si="37"/>
        <v>5</v>
      </c>
      <c r="CO54" s="96">
        <f t="shared" si="37"/>
        <v>5</v>
      </c>
      <c r="CP54" s="96">
        <f t="shared" si="38"/>
        <v>0</v>
      </c>
      <c r="CQ54" s="96">
        <f t="shared" si="38"/>
        <v>0</v>
      </c>
      <c r="CR54" s="96">
        <f t="shared" si="38"/>
        <v>0</v>
      </c>
      <c r="CS54" s="96">
        <f t="shared" si="38"/>
        <v>6</v>
      </c>
      <c r="CT54" s="96">
        <f t="shared" si="38"/>
        <v>6</v>
      </c>
      <c r="CU54" s="96">
        <f t="shared" si="39"/>
        <v>0</v>
      </c>
      <c r="CV54" s="96">
        <f t="shared" si="39"/>
        <v>0</v>
      </c>
      <c r="CW54" s="96">
        <f t="shared" si="39"/>
        <v>0</v>
      </c>
      <c r="CX54" s="96">
        <f t="shared" si="39"/>
        <v>6</v>
      </c>
      <c r="CY54" s="96">
        <f t="shared" si="39"/>
        <v>6</v>
      </c>
      <c r="CZ54" s="96">
        <f t="shared" si="40"/>
        <v>0</v>
      </c>
      <c r="DA54" s="96">
        <f t="shared" si="40"/>
        <v>0</v>
      </c>
      <c r="DB54" s="96">
        <f t="shared" si="40"/>
        <v>0</v>
      </c>
      <c r="DC54" s="96">
        <f t="shared" si="40"/>
        <v>6</v>
      </c>
      <c r="DD54" s="96">
        <f t="shared" si="40"/>
        <v>6</v>
      </c>
      <c r="DE54" s="96">
        <f t="shared" si="84"/>
        <v>0</v>
      </c>
      <c r="DF54" s="96">
        <f t="shared" si="84"/>
        <v>0</v>
      </c>
      <c r="DG54" s="96">
        <f t="shared" si="84"/>
        <v>0</v>
      </c>
      <c r="DH54" s="96">
        <f t="shared" si="84"/>
        <v>6</v>
      </c>
      <c r="DI54" s="96">
        <f t="shared" si="84"/>
        <v>6</v>
      </c>
      <c r="DJ54" s="96">
        <f t="shared" si="41"/>
        <v>0</v>
      </c>
      <c r="DK54" s="96">
        <f t="shared" si="41"/>
        <v>0</v>
      </c>
      <c r="DL54" s="96">
        <f t="shared" si="41"/>
        <v>0</v>
      </c>
      <c r="DM54" s="96">
        <f t="shared" si="41"/>
        <v>6</v>
      </c>
      <c r="DN54" s="96">
        <f t="shared" si="41"/>
        <v>5</v>
      </c>
      <c r="DO54" s="96">
        <f t="shared" si="42"/>
        <v>0</v>
      </c>
      <c r="DP54" s="96">
        <f t="shared" si="42"/>
        <v>0</v>
      </c>
      <c r="DQ54" s="96">
        <f t="shared" si="42"/>
        <v>0</v>
      </c>
      <c r="DR54" s="96">
        <f t="shared" si="42"/>
        <v>6</v>
      </c>
      <c r="DS54" s="96">
        <f t="shared" si="42"/>
        <v>6</v>
      </c>
      <c r="DT54" s="96">
        <f t="shared" si="43"/>
        <v>0</v>
      </c>
      <c r="DU54" s="96">
        <f t="shared" si="43"/>
        <v>0</v>
      </c>
      <c r="DV54" s="96">
        <f t="shared" si="43"/>
        <v>0</v>
      </c>
      <c r="DW54" s="96">
        <f t="shared" si="43"/>
        <v>6</v>
      </c>
      <c r="DX54" s="96">
        <f t="shared" si="43"/>
        <v>6</v>
      </c>
      <c r="DY54" s="97">
        <f t="shared" si="44"/>
        <v>0</v>
      </c>
      <c r="DZ54" s="97">
        <f t="shared" si="44"/>
        <v>0</v>
      </c>
      <c r="EA54" s="97">
        <f t="shared" si="44"/>
        <v>0</v>
      </c>
      <c r="EB54" s="97">
        <f t="shared" si="44"/>
        <v>6</v>
      </c>
      <c r="EC54" s="97">
        <f t="shared" si="44"/>
        <v>6</v>
      </c>
      <c r="ED54" s="96">
        <f t="shared" si="45"/>
        <v>0</v>
      </c>
      <c r="EE54" s="96">
        <f t="shared" si="45"/>
        <v>0</v>
      </c>
      <c r="EF54" s="96">
        <f t="shared" si="45"/>
        <v>0</v>
      </c>
      <c r="EG54" s="96">
        <f t="shared" si="45"/>
        <v>6</v>
      </c>
      <c r="EH54" s="96">
        <f t="shared" si="45"/>
        <v>6</v>
      </c>
      <c r="EI54" s="96">
        <f t="shared" si="46"/>
        <v>0</v>
      </c>
      <c r="EJ54" s="96">
        <f t="shared" si="46"/>
        <v>0</v>
      </c>
      <c r="EK54" s="96">
        <f t="shared" si="46"/>
        <v>0</v>
      </c>
      <c r="EL54" s="96">
        <f t="shared" si="46"/>
        <v>0</v>
      </c>
      <c r="EM54" s="115">
        <f t="shared" si="46"/>
        <v>1</v>
      </c>
      <c r="EN54" s="98">
        <f t="shared" si="85"/>
        <v>1</v>
      </c>
      <c r="EO54" s="98">
        <f t="shared" si="85"/>
        <v>1</v>
      </c>
      <c r="EP54" s="98">
        <f t="shared" si="85"/>
        <v>1</v>
      </c>
      <c r="EQ54" s="98">
        <f t="shared" si="85"/>
        <v>60</v>
      </c>
      <c r="ER54" s="98">
        <f t="shared" si="85"/>
        <v>60</v>
      </c>
    </row>
    <row r="55" spans="1:148" ht="17" thickBot="1" x14ac:dyDescent="0.25">
      <c r="A55" s="36"/>
      <c r="B55" s="62"/>
      <c r="C55" s="62"/>
      <c r="D55" s="62"/>
      <c r="E55" s="62"/>
      <c r="F55" s="63"/>
      <c r="G55" s="21"/>
      <c r="I55" s="88">
        <f t="shared" si="86"/>
        <v>29</v>
      </c>
      <c r="J55" s="27">
        <v>1</v>
      </c>
      <c r="K55">
        <v>1</v>
      </c>
      <c r="L55">
        <v>1</v>
      </c>
      <c r="M55">
        <v>0</v>
      </c>
      <c r="N55">
        <v>1</v>
      </c>
      <c r="O55">
        <f t="shared" si="3"/>
        <v>4.4206532921810695E-5</v>
      </c>
      <c r="P55" s="74">
        <f t="shared" si="47"/>
        <v>4</v>
      </c>
      <c r="Q55" s="114">
        <f t="shared" si="48"/>
        <v>3.0166666666666666</v>
      </c>
      <c r="R55" s="89">
        <f t="shared" si="4"/>
        <v>0</v>
      </c>
      <c r="S55" s="52">
        <f t="shared" si="5"/>
        <v>0</v>
      </c>
      <c r="T55" s="90">
        <f t="shared" si="6"/>
        <v>0</v>
      </c>
      <c r="U55" s="89">
        <f t="shared" si="49"/>
        <v>100</v>
      </c>
      <c r="V55" s="89">
        <f t="shared" si="50"/>
        <v>0</v>
      </c>
      <c r="W55" s="89">
        <f t="shared" si="51"/>
        <v>0</v>
      </c>
      <c r="X55" s="89">
        <f t="shared" si="52"/>
        <v>30</v>
      </c>
      <c r="Y55" s="89">
        <f t="shared" si="53"/>
        <v>0</v>
      </c>
      <c r="Z55" s="89">
        <f t="shared" si="54"/>
        <v>0</v>
      </c>
      <c r="AA55" s="89">
        <f t="shared" si="55"/>
        <v>18</v>
      </c>
      <c r="AB55" s="89">
        <f t="shared" si="56"/>
        <v>0</v>
      </c>
      <c r="AC55" s="89">
        <f t="shared" si="57"/>
        <v>0</v>
      </c>
      <c r="AD55" s="89">
        <f t="shared" si="58"/>
        <v>12</v>
      </c>
      <c r="AE55" s="89">
        <f t="shared" si="59"/>
        <v>0</v>
      </c>
      <c r="AF55" s="89">
        <f t="shared" si="60"/>
        <v>0</v>
      </c>
      <c r="AG55" s="89">
        <f t="shared" si="61"/>
        <v>6</v>
      </c>
      <c r="AH55" s="89">
        <f t="shared" si="62"/>
        <v>0</v>
      </c>
      <c r="AI55" s="89">
        <f t="shared" si="63"/>
        <v>0</v>
      </c>
      <c r="AJ55" s="89">
        <f t="shared" si="64"/>
        <v>3</v>
      </c>
      <c r="AK55" s="89">
        <f t="shared" si="65"/>
        <v>0</v>
      </c>
      <c r="AL55" s="89">
        <f t="shared" si="66"/>
        <v>0</v>
      </c>
      <c r="AM55" s="89">
        <f t="shared" si="67"/>
        <v>3</v>
      </c>
      <c r="AN55" s="89">
        <f t="shared" si="68"/>
        <v>0</v>
      </c>
      <c r="AO55" s="89">
        <f t="shared" si="69"/>
        <v>0</v>
      </c>
      <c r="AP55" s="89">
        <f t="shared" si="70"/>
        <v>3</v>
      </c>
      <c r="AQ55" s="89">
        <f t="shared" si="71"/>
        <v>0</v>
      </c>
      <c r="AR55" s="89">
        <f t="shared" si="72"/>
        <v>0</v>
      </c>
      <c r="AS55" s="89">
        <f t="shared" si="73"/>
        <v>3</v>
      </c>
      <c r="AT55" s="89">
        <f t="shared" si="74"/>
        <v>0</v>
      </c>
      <c r="AU55" s="89">
        <f t="shared" si="75"/>
        <v>0</v>
      </c>
      <c r="AV55" s="89">
        <f t="shared" si="76"/>
        <v>3</v>
      </c>
      <c r="AW55" s="89">
        <f t="shared" si="77"/>
        <v>0</v>
      </c>
      <c r="AX55" s="89">
        <f t="shared" si="78"/>
        <v>0</v>
      </c>
      <c r="AY55" s="89">
        <f t="shared" si="79"/>
        <v>0</v>
      </c>
      <c r="AZ55" s="52">
        <f t="shared" si="8"/>
        <v>0</v>
      </c>
      <c r="BA55" s="90">
        <f t="shared" si="9"/>
        <v>0</v>
      </c>
      <c r="BB55" s="91">
        <f t="shared" si="80"/>
        <v>5</v>
      </c>
      <c r="BC55" s="91">
        <f t="shared" si="10"/>
        <v>0</v>
      </c>
      <c r="BD55" s="91">
        <f t="shared" si="11"/>
        <v>0</v>
      </c>
      <c r="BE55" s="52">
        <f t="shared" si="12"/>
        <v>6</v>
      </c>
      <c r="BF55" s="52">
        <f t="shared" si="13"/>
        <v>0</v>
      </c>
      <c r="BG55" s="90">
        <f t="shared" si="14"/>
        <v>0</v>
      </c>
      <c r="BH55" s="52">
        <f t="shared" si="15"/>
        <v>6</v>
      </c>
      <c r="BI55" s="52">
        <f t="shared" si="16"/>
        <v>0</v>
      </c>
      <c r="BJ55" s="92">
        <f t="shared" si="17"/>
        <v>0</v>
      </c>
      <c r="BK55" s="91">
        <f t="shared" si="18"/>
        <v>6</v>
      </c>
      <c r="BL55" s="91">
        <f t="shared" si="19"/>
        <v>0</v>
      </c>
      <c r="BM55" s="93">
        <f t="shared" si="20"/>
        <v>0</v>
      </c>
      <c r="BN55" s="92">
        <f t="shared" si="81"/>
        <v>6</v>
      </c>
      <c r="BO55" s="92">
        <f t="shared" si="82"/>
        <v>0</v>
      </c>
      <c r="BP55" s="92">
        <f t="shared" si="83"/>
        <v>0</v>
      </c>
      <c r="BQ55" s="91">
        <f t="shared" si="21"/>
        <v>6</v>
      </c>
      <c r="BR55" s="91">
        <f t="shared" si="22"/>
        <v>0</v>
      </c>
      <c r="BS55" s="93">
        <f t="shared" si="23"/>
        <v>0</v>
      </c>
      <c r="BT55" s="91">
        <f t="shared" si="24"/>
        <v>6</v>
      </c>
      <c r="BU55" s="91">
        <f t="shared" si="25"/>
        <v>0</v>
      </c>
      <c r="BV55" s="94">
        <f t="shared" si="26"/>
        <v>0</v>
      </c>
      <c r="BW55" s="52">
        <f t="shared" si="27"/>
        <v>6</v>
      </c>
      <c r="BX55" s="52">
        <f t="shared" si="28"/>
        <v>0</v>
      </c>
      <c r="BY55" s="90">
        <f t="shared" si="29"/>
        <v>0</v>
      </c>
      <c r="BZ55" s="52">
        <f t="shared" si="30"/>
        <v>6</v>
      </c>
      <c r="CA55" s="52">
        <f t="shared" si="31"/>
        <v>0</v>
      </c>
      <c r="CB55" s="90">
        <f t="shared" si="32"/>
        <v>0</v>
      </c>
      <c r="CC55" s="52">
        <f t="shared" si="33"/>
        <v>6</v>
      </c>
      <c r="CD55" s="52">
        <f t="shared" si="34"/>
        <v>0</v>
      </c>
      <c r="CE55" s="90">
        <f t="shared" si="35"/>
        <v>0</v>
      </c>
      <c r="CF55" s="95">
        <f t="shared" si="36"/>
        <v>1</v>
      </c>
      <c r="CG55" s="97">
        <f t="shared" si="36"/>
        <v>1</v>
      </c>
      <c r="CH55" s="97">
        <f t="shared" si="36"/>
        <v>1</v>
      </c>
      <c r="CI55" s="97">
        <f t="shared" si="36"/>
        <v>0</v>
      </c>
      <c r="CJ55" s="97">
        <f t="shared" si="36"/>
        <v>1</v>
      </c>
      <c r="CK55" s="96">
        <f t="shared" si="37"/>
        <v>0</v>
      </c>
      <c r="CL55" s="96">
        <f t="shared" si="37"/>
        <v>0</v>
      </c>
      <c r="CM55" s="96">
        <f t="shared" si="37"/>
        <v>0</v>
      </c>
      <c r="CN55" s="96">
        <f t="shared" si="37"/>
        <v>5</v>
      </c>
      <c r="CO55" s="96">
        <f t="shared" si="37"/>
        <v>0</v>
      </c>
      <c r="CP55" s="96">
        <f t="shared" si="38"/>
        <v>0</v>
      </c>
      <c r="CQ55" s="96">
        <f t="shared" si="38"/>
        <v>0</v>
      </c>
      <c r="CR55" s="96">
        <f t="shared" si="38"/>
        <v>0</v>
      </c>
      <c r="CS55" s="96">
        <f t="shared" si="38"/>
        <v>6</v>
      </c>
      <c r="CT55" s="96">
        <f t="shared" si="38"/>
        <v>0</v>
      </c>
      <c r="CU55" s="96">
        <f t="shared" si="39"/>
        <v>0</v>
      </c>
      <c r="CV55" s="96">
        <f t="shared" si="39"/>
        <v>0</v>
      </c>
      <c r="CW55" s="96">
        <f t="shared" si="39"/>
        <v>0</v>
      </c>
      <c r="CX55" s="96">
        <f t="shared" si="39"/>
        <v>6</v>
      </c>
      <c r="CY55" s="96">
        <f t="shared" si="39"/>
        <v>0</v>
      </c>
      <c r="CZ55" s="96">
        <f t="shared" si="40"/>
        <v>0</v>
      </c>
      <c r="DA55" s="96">
        <f t="shared" si="40"/>
        <v>0</v>
      </c>
      <c r="DB55" s="96">
        <f t="shared" si="40"/>
        <v>0</v>
      </c>
      <c r="DC55" s="96">
        <f t="shared" si="40"/>
        <v>6</v>
      </c>
      <c r="DD55" s="96">
        <f t="shared" si="40"/>
        <v>0</v>
      </c>
      <c r="DE55" s="96">
        <f t="shared" si="84"/>
        <v>0</v>
      </c>
      <c r="DF55" s="96">
        <f t="shared" si="84"/>
        <v>0</v>
      </c>
      <c r="DG55" s="96">
        <f t="shared" si="84"/>
        <v>0</v>
      </c>
      <c r="DH55" s="96">
        <f t="shared" si="84"/>
        <v>6</v>
      </c>
      <c r="DI55" s="96">
        <f t="shared" si="84"/>
        <v>0</v>
      </c>
      <c r="DJ55" s="96">
        <f t="shared" si="41"/>
        <v>0</v>
      </c>
      <c r="DK55" s="96">
        <f t="shared" si="41"/>
        <v>0</v>
      </c>
      <c r="DL55" s="96">
        <f t="shared" si="41"/>
        <v>0</v>
      </c>
      <c r="DM55" s="96">
        <f t="shared" si="41"/>
        <v>6</v>
      </c>
      <c r="DN55" s="96">
        <f t="shared" si="41"/>
        <v>0</v>
      </c>
      <c r="DO55" s="96">
        <f t="shared" si="42"/>
        <v>0</v>
      </c>
      <c r="DP55" s="96">
        <f t="shared" si="42"/>
        <v>0</v>
      </c>
      <c r="DQ55" s="96">
        <f t="shared" si="42"/>
        <v>0</v>
      </c>
      <c r="DR55" s="96">
        <f t="shared" si="42"/>
        <v>6</v>
      </c>
      <c r="DS55" s="96">
        <f t="shared" si="42"/>
        <v>0</v>
      </c>
      <c r="DT55" s="96">
        <f t="shared" si="43"/>
        <v>0</v>
      </c>
      <c r="DU55" s="96">
        <f t="shared" si="43"/>
        <v>0</v>
      </c>
      <c r="DV55" s="96">
        <f t="shared" si="43"/>
        <v>0</v>
      </c>
      <c r="DW55" s="96">
        <f t="shared" si="43"/>
        <v>6</v>
      </c>
      <c r="DX55" s="96">
        <f t="shared" si="43"/>
        <v>0</v>
      </c>
      <c r="DY55" s="97">
        <f t="shared" si="44"/>
        <v>0</v>
      </c>
      <c r="DZ55" s="97">
        <f t="shared" si="44"/>
        <v>0</v>
      </c>
      <c r="EA55" s="97">
        <f t="shared" si="44"/>
        <v>0</v>
      </c>
      <c r="EB55" s="97">
        <f t="shared" si="44"/>
        <v>6</v>
      </c>
      <c r="EC55" s="97">
        <f t="shared" si="44"/>
        <v>0</v>
      </c>
      <c r="ED55" s="96">
        <f t="shared" si="45"/>
        <v>0</v>
      </c>
      <c r="EE55" s="96">
        <f t="shared" si="45"/>
        <v>0</v>
      </c>
      <c r="EF55" s="96">
        <f t="shared" si="45"/>
        <v>0</v>
      </c>
      <c r="EG55" s="96">
        <f t="shared" si="45"/>
        <v>6</v>
      </c>
      <c r="EH55" s="96">
        <f t="shared" si="45"/>
        <v>0</v>
      </c>
      <c r="EI55" s="96">
        <f t="shared" si="46"/>
        <v>0</v>
      </c>
      <c r="EJ55" s="96">
        <f t="shared" si="46"/>
        <v>0</v>
      </c>
      <c r="EK55" s="96">
        <f t="shared" si="46"/>
        <v>0</v>
      </c>
      <c r="EL55" s="96">
        <f t="shared" si="46"/>
        <v>0</v>
      </c>
      <c r="EM55" s="115">
        <f t="shared" si="46"/>
        <v>0</v>
      </c>
      <c r="EN55" s="98">
        <f t="shared" si="85"/>
        <v>1</v>
      </c>
      <c r="EO55" s="98">
        <f t="shared" si="85"/>
        <v>1</v>
      </c>
      <c r="EP55" s="98">
        <f t="shared" si="85"/>
        <v>1</v>
      </c>
      <c r="EQ55" s="98">
        <f t="shared" si="85"/>
        <v>60</v>
      </c>
      <c r="ER55" s="98">
        <f t="shared" si="85"/>
        <v>1</v>
      </c>
    </row>
    <row r="56" spans="1:148" ht="17" thickBot="1" x14ac:dyDescent="0.25">
      <c r="A56" s="64" t="s">
        <v>32</v>
      </c>
      <c r="B56" s="65">
        <f>SUM(B42:B55)</f>
        <v>60</v>
      </c>
      <c r="C56" s="65">
        <f>SUM(C42:C55)</f>
        <v>60</v>
      </c>
      <c r="D56" s="65">
        <f>SUM(D42:D55)</f>
        <v>60</v>
      </c>
      <c r="E56" s="65">
        <f>SUM(E42:E55)</f>
        <v>60</v>
      </c>
      <c r="F56" s="66">
        <f>SUM(F42:F55)</f>
        <v>60</v>
      </c>
      <c r="G56" s="21"/>
      <c r="I56" s="88">
        <f>I55+1</f>
        <v>30</v>
      </c>
      <c r="J56" s="27">
        <v>1</v>
      </c>
      <c r="K56">
        <v>1</v>
      </c>
      <c r="L56">
        <v>1</v>
      </c>
      <c r="M56">
        <v>1</v>
      </c>
      <c r="N56">
        <v>0</v>
      </c>
      <c r="O56">
        <f t="shared" si="3"/>
        <v>4.4206532921810695E-5</v>
      </c>
      <c r="P56" s="74">
        <f t="shared" si="47"/>
        <v>4</v>
      </c>
      <c r="Q56" s="114">
        <f t="shared" si="48"/>
        <v>3.0083333333333333</v>
      </c>
      <c r="R56" s="89">
        <f t="shared" si="4"/>
        <v>0</v>
      </c>
      <c r="S56" s="52">
        <f t="shared" si="5"/>
        <v>0</v>
      </c>
      <c r="T56" s="90">
        <f t="shared" si="6"/>
        <v>0</v>
      </c>
      <c r="U56" s="89">
        <f t="shared" si="49"/>
        <v>100</v>
      </c>
      <c r="V56" s="89">
        <f t="shared" si="50"/>
        <v>0</v>
      </c>
      <c r="W56" s="89">
        <f t="shared" si="51"/>
        <v>0</v>
      </c>
      <c r="X56" s="89">
        <f t="shared" si="52"/>
        <v>30</v>
      </c>
      <c r="Y56" s="89">
        <f t="shared" si="53"/>
        <v>0</v>
      </c>
      <c r="Z56" s="89">
        <f t="shared" si="54"/>
        <v>0</v>
      </c>
      <c r="AA56" s="89">
        <f t="shared" si="55"/>
        <v>18</v>
      </c>
      <c r="AB56" s="89">
        <f t="shared" si="56"/>
        <v>0</v>
      </c>
      <c r="AC56" s="89">
        <f t="shared" si="57"/>
        <v>0</v>
      </c>
      <c r="AD56" s="89">
        <f t="shared" si="58"/>
        <v>12</v>
      </c>
      <c r="AE56" s="89">
        <f t="shared" si="59"/>
        <v>0</v>
      </c>
      <c r="AF56" s="89">
        <f t="shared" si="60"/>
        <v>0</v>
      </c>
      <c r="AG56" s="89">
        <f t="shared" si="61"/>
        <v>6</v>
      </c>
      <c r="AH56" s="89">
        <f t="shared" si="62"/>
        <v>0</v>
      </c>
      <c r="AI56" s="89">
        <f t="shared" si="63"/>
        <v>0</v>
      </c>
      <c r="AJ56" s="89">
        <f t="shared" si="64"/>
        <v>2.5</v>
      </c>
      <c r="AK56" s="89">
        <f t="shared" si="65"/>
        <v>0</v>
      </c>
      <c r="AL56" s="89">
        <f t="shared" si="66"/>
        <v>0</v>
      </c>
      <c r="AM56" s="89">
        <f t="shared" si="67"/>
        <v>3</v>
      </c>
      <c r="AN56" s="89">
        <f t="shared" si="68"/>
        <v>0</v>
      </c>
      <c r="AO56" s="89">
        <f t="shared" si="69"/>
        <v>0</v>
      </c>
      <c r="AP56" s="89">
        <f t="shared" si="70"/>
        <v>3</v>
      </c>
      <c r="AQ56" s="89">
        <f t="shared" si="71"/>
        <v>0</v>
      </c>
      <c r="AR56" s="89">
        <f t="shared" si="72"/>
        <v>0</v>
      </c>
      <c r="AS56" s="89">
        <f t="shared" si="73"/>
        <v>3</v>
      </c>
      <c r="AT56" s="89">
        <f t="shared" si="74"/>
        <v>0</v>
      </c>
      <c r="AU56" s="89">
        <f t="shared" si="75"/>
        <v>0</v>
      </c>
      <c r="AV56" s="89">
        <f t="shared" si="76"/>
        <v>3</v>
      </c>
      <c r="AW56" s="89">
        <f t="shared" si="77"/>
        <v>0</v>
      </c>
      <c r="AX56" s="89">
        <f t="shared" si="78"/>
        <v>0</v>
      </c>
      <c r="AY56" s="89">
        <f t="shared" si="79"/>
        <v>0</v>
      </c>
      <c r="AZ56" s="52">
        <f t="shared" si="8"/>
        <v>1</v>
      </c>
      <c r="BA56" s="90">
        <f t="shared" si="9"/>
        <v>0</v>
      </c>
      <c r="BB56" s="91">
        <f t="shared" si="80"/>
        <v>5</v>
      </c>
      <c r="BC56" s="91">
        <f t="shared" si="10"/>
        <v>0</v>
      </c>
      <c r="BD56" s="91">
        <f t="shared" si="11"/>
        <v>0</v>
      </c>
      <c r="BE56" s="52">
        <f t="shared" si="12"/>
        <v>6</v>
      </c>
      <c r="BF56" s="52">
        <f t="shared" si="13"/>
        <v>0</v>
      </c>
      <c r="BG56" s="90">
        <f t="shared" si="14"/>
        <v>0</v>
      </c>
      <c r="BH56" s="52">
        <f t="shared" si="15"/>
        <v>6</v>
      </c>
      <c r="BI56" s="52">
        <f t="shared" si="16"/>
        <v>0</v>
      </c>
      <c r="BJ56" s="92">
        <f t="shared" si="17"/>
        <v>0</v>
      </c>
      <c r="BK56" s="91">
        <f t="shared" si="18"/>
        <v>6</v>
      </c>
      <c r="BL56" s="91">
        <f t="shared" si="19"/>
        <v>0</v>
      </c>
      <c r="BM56" s="93">
        <f t="shared" si="20"/>
        <v>0</v>
      </c>
      <c r="BN56" s="92">
        <f t="shared" si="81"/>
        <v>6</v>
      </c>
      <c r="BO56" s="92">
        <f t="shared" si="82"/>
        <v>0</v>
      </c>
      <c r="BP56" s="92">
        <f t="shared" si="83"/>
        <v>0</v>
      </c>
      <c r="BQ56" s="91">
        <f t="shared" si="21"/>
        <v>5</v>
      </c>
      <c r="BR56" s="91">
        <f t="shared" si="22"/>
        <v>0</v>
      </c>
      <c r="BS56" s="93">
        <f t="shared" si="23"/>
        <v>0</v>
      </c>
      <c r="BT56" s="91">
        <f t="shared" si="24"/>
        <v>6</v>
      </c>
      <c r="BU56" s="91">
        <f t="shared" si="25"/>
        <v>0</v>
      </c>
      <c r="BV56" s="94">
        <f t="shared" si="26"/>
        <v>0</v>
      </c>
      <c r="BW56" s="52">
        <f t="shared" si="27"/>
        <v>6</v>
      </c>
      <c r="BX56" s="52">
        <f t="shared" si="28"/>
        <v>0</v>
      </c>
      <c r="BY56" s="90">
        <f t="shared" si="29"/>
        <v>0</v>
      </c>
      <c r="BZ56" s="52">
        <f t="shared" si="30"/>
        <v>6</v>
      </c>
      <c r="CA56" s="52">
        <f t="shared" si="31"/>
        <v>0</v>
      </c>
      <c r="CB56" s="90">
        <f t="shared" si="32"/>
        <v>0</v>
      </c>
      <c r="CC56" s="52">
        <f t="shared" si="33"/>
        <v>6</v>
      </c>
      <c r="CD56" s="52">
        <f t="shared" si="34"/>
        <v>0</v>
      </c>
      <c r="CE56" s="90">
        <f t="shared" si="35"/>
        <v>0</v>
      </c>
      <c r="CF56" s="95">
        <f t="shared" si="36"/>
        <v>1</v>
      </c>
      <c r="CG56" s="97">
        <f t="shared" si="36"/>
        <v>1</v>
      </c>
      <c r="CH56" s="97">
        <f t="shared" si="36"/>
        <v>1</v>
      </c>
      <c r="CI56" s="97">
        <f t="shared" si="36"/>
        <v>1</v>
      </c>
      <c r="CJ56" s="97">
        <f t="shared" si="36"/>
        <v>0</v>
      </c>
      <c r="CK56" s="96">
        <f t="shared" si="37"/>
        <v>0</v>
      </c>
      <c r="CL56" s="96">
        <f t="shared" si="37"/>
        <v>0</v>
      </c>
      <c r="CM56" s="96">
        <f t="shared" si="37"/>
        <v>0</v>
      </c>
      <c r="CN56" s="96">
        <f t="shared" si="37"/>
        <v>0</v>
      </c>
      <c r="CO56" s="96">
        <f t="shared" si="37"/>
        <v>5</v>
      </c>
      <c r="CP56" s="96">
        <f t="shared" si="38"/>
        <v>0</v>
      </c>
      <c r="CQ56" s="96">
        <f t="shared" si="38"/>
        <v>0</v>
      </c>
      <c r="CR56" s="96">
        <f t="shared" si="38"/>
        <v>0</v>
      </c>
      <c r="CS56" s="96">
        <f t="shared" si="38"/>
        <v>0</v>
      </c>
      <c r="CT56" s="96">
        <f t="shared" si="38"/>
        <v>6</v>
      </c>
      <c r="CU56" s="96">
        <f t="shared" si="39"/>
        <v>0</v>
      </c>
      <c r="CV56" s="96">
        <f t="shared" si="39"/>
        <v>0</v>
      </c>
      <c r="CW56" s="96">
        <f t="shared" si="39"/>
        <v>0</v>
      </c>
      <c r="CX56" s="96">
        <f t="shared" si="39"/>
        <v>0</v>
      </c>
      <c r="CY56" s="96">
        <f t="shared" si="39"/>
        <v>6</v>
      </c>
      <c r="CZ56" s="96">
        <f t="shared" si="40"/>
        <v>0</v>
      </c>
      <c r="DA56" s="96">
        <f t="shared" si="40"/>
        <v>0</v>
      </c>
      <c r="DB56" s="96">
        <f t="shared" si="40"/>
        <v>0</v>
      </c>
      <c r="DC56" s="96">
        <f t="shared" si="40"/>
        <v>0</v>
      </c>
      <c r="DD56" s="96">
        <f t="shared" si="40"/>
        <v>6</v>
      </c>
      <c r="DE56" s="96">
        <f t="shared" si="84"/>
        <v>0</v>
      </c>
      <c r="DF56" s="96">
        <f t="shared" si="84"/>
        <v>0</v>
      </c>
      <c r="DG56" s="96">
        <f t="shared" si="84"/>
        <v>0</v>
      </c>
      <c r="DH56" s="96">
        <f t="shared" si="84"/>
        <v>0</v>
      </c>
      <c r="DI56" s="96">
        <f t="shared" si="84"/>
        <v>6</v>
      </c>
      <c r="DJ56" s="96">
        <f t="shared" si="41"/>
        <v>0</v>
      </c>
      <c r="DK56" s="96">
        <f t="shared" si="41"/>
        <v>0</v>
      </c>
      <c r="DL56" s="96">
        <f t="shared" si="41"/>
        <v>0</v>
      </c>
      <c r="DM56" s="96">
        <f t="shared" si="41"/>
        <v>0</v>
      </c>
      <c r="DN56" s="96">
        <f t="shared" si="41"/>
        <v>5</v>
      </c>
      <c r="DO56" s="96">
        <f t="shared" si="42"/>
        <v>0</v>
      </c>
      <c r="DP56" s="96">
        <f t="shared" si="42"/>
        <v>0</v>
      </c>
      <c r="DQ56" s="96">
        <f t="shared" si="42"/>
        <v>0</v>
      </c>
      <c r="DR56" s="96">
        <f t="shared" si="42"/>
        <v>0</v>
      </c>
      <c r="DS56" s="96">
        <f t="shared" si="42"/>
        <v>6</v>
      </c>
      <c r="DT56" s="96">
        <f t="shared" si="43"/>
        <v>0</v>
      </c>
      <c r="DU56" s="96">
        <f t="shared" si="43"/>
        <v>0</v>
      </c>
      <c r="DV56" s="96">
        <f t="shared" si="43"/>
        <v>0</v>
      </c>
      <c r="DW56" s="96">
        <f t="shared" si="43"/>
        <v>0</v>
      </c>
      <c r="DX56" s="96">
        <f t="shared" si="43"/>
        <v>6</v>
      </c>
      <c r="DY56" s="97">
        <f t="shared" si="44"/>
        <v>0</v>
      </c>
      <c r="DZ56" s="97">
        <f t="shared" si="44"/>
        <v>0</v>
      </c>
      <c r="EA56" s="97">
        <f t="shared" si="44"/>
        <v>0</v>
      </c>
      <c r="EB56" s="97">
        <f t="shared" si="44"/>
        <v>0</v>
      </c>
      <c r="EC56" s="97">
        <f t="shared" si="44"/>
        <v>6</v>
      </c>
      <c r="ED56" s="96">
        <f t="shared" si="45"/>
        <v>0</v>
      </c>
      <c r="EE56" s="96">
        <f t="shared" si="45"/>
        <v>0</v>
      </c>
      <c r="EF56" s="96">
        <f t="shared" si="45"/>
        <v>0</v>
      </c>
      <c r="EG56" s="96">
        <f t="shared" si="45"/>
        <v>0</v>
      </c>
      <c r="EH56" s="96">
        <f t="shared" si="45"/>
        <v>6</v>
      </c>
      <c r="EI56" s="96">
        <f t="shared" si="46"/>
        <v>0</v>
      </c>
      <c r="EJ56" s="96">
        <f t="shared" si="46"/>
        <v>0</v>
      </c>
      <c r="EK56" s="96">
        <f t="shared" si="46"/>
        <v>0</v>
      </c>
      <c r="EL56" s="96">
        <f t="shared" si="46"/>
        <v>0</v>
      </c>
      <c r="EM56" s="115">
        <f t="shared" si="46"/>
        <v>1</v>
      </c>
      <c r="EN56" s="98">
        <f t="shared" si="85"/>
        <v>1</v>
      </c>
      <c r="EO56" s="98">
        <f t="shared" si="85"/>
        <v>1</v>
      </c>
      <c r="EP56" s="98">
        <f t="shared" si="85"/>
        <v>1</v>
      </c>
      <c r="EQ56" s="98">
        <f t="shared" si="85"/>
        <v>1</v>
      </c>
      <c r="ER56" s="98">
        <f t="shared" si="85"/>
        <v>60</v>
      </c>
    </row>
    <row r="57" spans="1:148" ht="17" thickBot="1" x14ac:dyDescent="0.25">
      <c r="I57" s="105">
        <f t="shared" si="86"/>
        <v>31</v>
      </c>
      <c r="J57" s="33">
        <v>1</v>
      </c>
      <c r="K57" s="106">
        <v>1</v>
      </c>
      <c r="L57" s="106">
        <v>1</v>
      </c>
      <c r="M57" s="106">
        <v>1</v>
      </c>
      <c r="N57" s="106">
        <v>1</v>
      </c>
      <c r="O57" s="106">
        <f t="shared" si="3"/>
        <v>4.0187757201646085E-6</v>
      </c>
      <c r="P57" s="107">
        <f t="shared" si="47"/>
        <v>5</v>
      </c>
      <c r="Q57" s="114">
        <f>SUM(R57:AX57)/PRODUCT(EN57:ER57)</f>
        <v>20</v>
      </c>
      <c r="R57" s="65">
        <f t="shared" si="4"/>
        <v>0</v>
      </c>
      <c r="S57" s="108">
        <f t="shared" si="5"/>
        <v>0</v>
      </c>
      <c r="T57" s="109">
        <f t="shared" si="6"/>
        <v>0</v>
      </c>
      <c r="U57" s="89">
        <f t="shared" si="49"/>
        <v>20</v>
      </c>
      <c r="V57" s="89">
        <f t="shared" si="50"/>
        <v>0</v>
      </c>
      <c r="W57" s="89">
        <f t="shared" si="51"/>
        <v>0</v>
      </c>
      <c r="X57" s="89">
        <f t="shared" si="52"/>
        <v>0</v>
      </c>
      <c r="Y57" s="89">
        <f t="shared" si="53"/>
        <v>0</v>
      </c>
      <c r="Z57" s="89">
        <f t="shared" si="54"/>
        <v>0</v>
      </c>
      <c r="AA57" s="89">
        <f t="shared" si="55"/>
        <v>0</v>
      </c>
      <c r="AB57" s="89">
        <f t="shared" si="56"/>
        <v>0</v>
      </c>
      <c r="AC57" s="89">
        <f t="shared" si="57"/>
        <v>0</v>
      </c>
      <c r="AD57" s="89">
        <f t="shared" si="58"/>
        <v>0</v>
      </c>
      <c r="AE57" s="89">
        <f t="shared" si="59"/>
        <v>0</v>
      </c>
      <c r="AF57" s="89">
        <f t="shared" si="60"/>
        <v>0</v>
      </c>
      <c r="AG57" s="89">
        <f>BN57*VLOOKUP(MID(AG$25,FIND(" ",AG$25)+1,LEN(AG$25)-3),$A$27:$E$38,7-_xlfn.NUMBERVALUE(LEFT(AG$25)),FALSE)</f>
        <v>0</v>
      </c>
      <c r="AH57" s="89">
        <f t="shared" si="62"/>
        <v>0</v>
      </c>
      <c r="AI57" s="89">
        <f t="shared" si="63"/>
        <v>0</v>
      </c>
      <c r="AJ57" s="89">
        <f t="shared" si="64"/>
        <v>0</v>
      </c>
      <c r="AK57" s="89">
        <f t="shared" si="65"/>
        <v>0</v>
      </c>
      <c r="AL57" s="89">
        <f t="shared" si="66"/>
        <v>0</v>
      </c>
      <c r="AM57" s="89">
        <f t="shared" si="67"/>
        <v>0</v>
      </c>
      <c r="AN57" s="89">
        <f t="shared" si="68"/>
        <v>0</v>
      </c>
      <c r="AO57" s="89">
        <f t="shared" si="69"/>
        <v>0</v>
      </c>
      <c r="AP57" s="89">
        <f t="shared" si="70"/>
        <v>0</v>
      </c>
      <c r="AQ57" s="89">
        <f t="shared" si="71"/>
        <v>0</v>
      </c>
      <c r="AR57" s="89">
        <f t="shared" si="72"/>
        <v>0</v>
      </c>
      <c r="AS57" s="89">
        <f t="shared" si="73"/>
        <v>0</v>
      </c>
      <c r="AT57" s="89">
        <f t="shared" si="74"/>
        <v>0</v>
      </c>
      <c r="AU57" s="89">
        <f t="shared" si="75"/>
        <v>0</v>
      </c>
      <c r="AV57" s="89">
        <f t="shared" si="76"/>
        <v>0</v>
      </c>
      <c r="AW57" s="89">
        <f t="shared" si="77"/>
        <v>0</v>
      </c>
      <c r="AX57" s="89">
        <f t="shared" si="78"/>
        <v>0</v>
      </c>
      <c r="AY57" s="65">
        <f t="shared" si="79"/>
        <v>1</v>
      </c>
      <c r="AZ57" s="108">
        <f t="shared" si="8"/>
        <v>0</v>
      </c>
      <c r="BA57" s="109">
        <f t="shared" si="9"/>
        <v>0</v>
      </c>
      <c r="BB57" s="110">
        <v>1</v>
      </c>
      <c r="BC57" s="110">
        <f t="shared" si="10"/>
        <v>0</v>
      </c>
      <c r="BD57" s="110">
        <f t="shared" si="11"/>
        <v>0</v>
      </c>
      <c r="BE57" s="108">
        <f t="shared" si="12"/>
        <v>0</v>
      </c>
      <c r="BF57" s="108">
        <f t="shared" si="13"/>
        <v>0</v>
      </c>
      <c r="BG57" s="109">
        <f t="shared" si="14"/>
        <v>0</v>
      </c>
      <c r="BH57" s="108">
        <f t="shared" si="15"/>
        <v>0</v>
      </c>
      <c r="BI57" s="108">
        <f t="shared" si="16"/>
        <v>0</v>
      </c>
      <c r="BJ57" s="111">
        <f t="shared" si="17"/>
        <v>0</v>
      </c>
      <c r="BK57" s="110">
        <f t="shared" si="18"/>
        <v>0</v>
      </c>
      <c r="BL57" s="110">
        <f t="shared" si="19"/>
        <v>0</v>
      </c>
      <c r="BM57" s="112">
        <f t="shared" si="20"/>
        <v>0</v>
      </c>
      <c r="BN57" s="92">
        <f t="shared" si="81"/>
        <v>0</v>
      </c>
      <c r="BO57" s="92">
        <f t="shared" si="82"/>
        <v>0</v>
      </c>
      <c r="BP57" s="92">
        <f t="shared" si="83"/>
        <v>0</v>
      </c>
      <c r="BQ57" s="110">
        <f t="shared" si="21"/>
        <v>0</v>
      </c>
      <c r="BR57" s="110">
        <f t="shared" si="22"/>
        <v>0</v>
      </c>
      <c r="BS57" s="112">
        <f t="shared" si="23"/>
        <v>0</v>
      </c>
      <c r="BT57" s="110">
        <f t="shared" si="24"/>
        <v>0</v>
      </c>
      <c r="BU57" s="110">
        <f t="shared" si="25"/>
        <v>0</v>
      </c>
      <c r="BV57" s="113">
        <f t="shared" si="26"/>
        <v>0</v>
      </c>
      <c r="BW57" s="108">
        <f t="shared" si="27"/>
        <v>0</v>
      </c>
      <c r="BX57" s="108">
        <f t="shared" si="28"/>
        <v>0</v>
      </c>
      <c r="BY57" s="109">
        <f t="shared" si="29"/>
        <v>0</v>
      </c>
      <c r="BZ57" s="108">
        <f t="shared" si="30"/>
        <v>0</v>
      </c>
      <c r="CA57" s="108">
        <f t="shared" si="31"/>
        <v>0</v>
      </c>
      <c r="CB57" s="109">
        <f t="shared" si="32"/>
        <v>0</v>
      </c>
      <c r="CC57" s="108">
        <f t="shared" si="33"/>
        <v>0</v>
      </c>
      <c r="CD57" s="108">
        <f t="shared" si="34"/>
        <v>0</v>
      </c>
      <c r="CE57" s="109">
        <f t="shared" si="35"/>
        <v>0</v>
      </c>
      <c r="CF57" s="116">
        <f t="shared" si="36"/>
        <v>1</v>
      </c>
      <c r="CG57" s="117">
        <f t="shared" si="36"/>
        <v>1</v>
      </c>
      <c r="CH57" s="117">
        <f t="shared" si="36"/>
        <v>1</v>
      </c>
      <c r="CI57" s="117">
        <f t="shared" si="36"/>
        <v>1</v>
      </c>
      <c r="CJ57" s="117">
        <f t="shared" si="36"/>
        <v>1</v>
      </c>
      <c r="CK57" s="118">
        <f t="shared" si="37"/>
        <v>0</v>
      </c>
      <c r="CL57" s="118">
        <f t="shared" si="37"/>
        <v>0</v>
      </c>
      <c r="CM57" s="118">
        <f t="shared" si="37"/>
        <v>0</v>
      </c>
      <c r="CN57" s="118">
        <f t="shared" si="37"/>
        <v>0</v>
      </c>
      <c r="CO57" s="118">
        <f t="shared" si="37"/>
        <v>0</v>
      </c>
      <c r="CP57" s="118">
        <f t="shared" si="38"/>
        <v>0</v>
      </c>
      <c r="CQ57" s="118">
        <f t="shared" si="38"/>
        <v>0</v>
      </c>
      <c r="CR57" s="118">
        <f t="shared" si="38"/>
        <v>0</v>
      </c>
      <c r="CS57" s="118">
        <f t="shared" si="38"/>
        <v>0</v>
      </c>
      <c r="CT57" s="118">
        <f t="shared" si="38"/>
        <v>0</v>
      </c>
      <c r="CU57" s="118">
        <f t="shared" si="39"/>
        <v>0</v>
      </c>
      <c r="CV57" s="118">
        <f t="shared" si="39"/>
        <v>0</v>
      </c>
      <c r="CW57" s="118">
        <f t="shared" si="39"/>
        <v>0</v>
      </c>
      <c r="CX57" s="118">
        <f t="shared" si="39"/>
        <v>0</v>
      </c>
      <c r="CY57" s="118">
        <f t="shared" si="39"/>
        <v>0</v>
      </c>
      <c r="CZ57" s="118">
        <f t="shared" si="40"/>
        <v>0</v>
      </c>
      <c r="DA57" s="118">
        <f t="shared" si="40"/>
        <v>0</v>
      </c>
      <c r="DB57" s="118">
        <f t="shared" si="40"/>
        <v>0</v>
      </c>
      <c r="DC57" s="118">
        <f t="shared" si="40"/>
        <v>0</v>
      </c>
      <c r="DD57" s="118">
        <f t="shared" si="40"/>
        <v>0</v>
      </c>
      <c r="DE57" s="96">
        <f t="shared" si="84"/>
        <v>0</v>
      </c>
      <c r="DF57" s="96">
        <f t="shared" si="84"/>
        <v>0</v>
      </c>
      <c r="DG57" s="96">
        <f t="shared" si="84"/>
        <v>0</v>
      </c>
      <c r="DH57" s="96">
        <f t="shared" si="84"/>
        <v>0</v>
      </c>
      <c r="DI57" s="96">
        <f t="shared" si="84"/>
        <v>0</v>
      </c>
      <c r="DJ57" s="118">
        <f t="shared" si="41"/>
        <v>0</v>
      </c>
      <c r="DK57" s="118">
        <f t="shared" si="41"/>
        <v>0</v>
      </c>
      <c r="DL57" s="118">
        <f t="shared" si="41"/>
        <v>0</v>
      </c>
      <c r="DM57" s="118">
        <f t="shared" si="41"/>
        <v>0</v>
      </c>
      <c r="DN57" s="118">
        <f t="shared" si="41"/>
        <v>0</v>
      </c>
      <c r="DO57" s="118">
        <f t="shared" si="42"/>
        <v>0</v>
      </c>
      <c r="DP57" s="118">
        <f t="shared" si="42"/>
        <v>0</v>
      </c>
      <c r="DQ57" s="118">
        <f t="shared" si="42"/>
        <v>0</v>
      </c>
      <c r="DR57" s="118">
        <f t="shared" si="42"/>
        <v>0</v>
      </c>
      <c r="DS57" s="118">
        <f t="shared" si="42"/>
        <v>0</v>
      </c>
      <c r="DT57" s="118">
        <f t="shared" si="43"/>
        <v>0</v>
      </c>
      <c r="DU57" s="118">
        <f t="shared" si="43"/>
        <v>0</v>
      </c>
      <c r="DV57" s="118">
        <f t="shared" si="43"/>
        <v>0</v>
      </c>
      <c r="DW57" s="118">
        <f t="shared" si="43"/>
        <v>0</v>
      </c>
      <c r="DX57" s="118">
        <f t="shared" si="43"/>
        <v>0</v>
      </c>
      <c r="DY57" s="117">
        <f t="shared" si="44"/>
        <v>0</v>
      </c>
      <c r="DZ57" s="117">
        <f t="shared" si="44"/>
        <v>0</v>
      </c>
      <c r="EA57" s="117">
        <f t="shared" si="44"/>
        <v>0</v>
      </c>
      <c r="EB57" s="117">
        <f t="shared" si="44"/>
        <v>0</v>
      </c>
      <c r="EC57" s="117">
        <f t="shared" si="44"/>
        <v>0</v>
      </c>
      <c r="ED57" s="118">
        <f t="shared" si="45"/>
        <v>0</v>
      </c>
      <c r="EE57" s="118">
        <f t="shared" si="45"/>
        <v>0</v>
      </c>
      <c r="EF57" s="118">
        <f t="shared" si="45"/>
        <v>0</v>
      </c>
      <c r="EG57" s="118">
        <f t="shared" si="45"/>
        <v>0</v>
      </c>
      <c r="EH57" s="118">
        <f t="shared" si="45"/>
        <v>0</v>
      </c>
      <c r="EI57" s="118">
        <f t="shared" si="46"/>
        <v>0</v>
      </c>
      <c r="EJ57" s="118">
        <f t="shared" si="46"/>
        <v>0</v>
      </c>
      <c r="EK57" s="118">
        <f t="shared" si="46"/>
        <v>0</v>
      </c>
      <c r="EL57" s="118">
        <f t="shared" si="46"/>
        <v>0</v>
      </c>
      <c r="EM57" s="119">
        <f t="shared" si="46"/>
        <v>0</v>
      </c>
      <c r="EN57" s="98">
        <f t="shared" si="85"/>
        <v>1</v>
      </c>
      <c r="EO57" s="98">
        <f t="shared" si="85"/>
        <v>1</v>
      </c>
      <c r="EP57" s="98">
        <f t="shared" si="85"/>
        <v>1</v>
      </c>
      <c r="EQ57" s="98">
        <f t="shared" si="85"/>
        <v>1</v>
      </c>
      <c r="ER57" s="98">
        <f t="shared" si="85"/>
        <v>1</v>
      </c>
    </row>
    <row r="58" spans="1:148" ht="17" thickBot="1" x14ac:dyDescent="0.25"/>
    <row r="59" spans="1:148" ht="17" thickBot="1" x14ac:dyDescent="0.25">
      <c r="A59" s="120"/>
      <c r="B59" s="21"/>
      <c r="C59" s="21"/>
      <c r="D59" s="21"/>
      <c r="E59" s="21"/>
      <c r="F59" s="21"/>
      <c r="G59" s="21"/>
      <c r="I59" s="72"/>
      <c r="J59" s="9" t="s">
        <v>8</v>
      </c>
      <c r="K59" s="121" t="s">
        <v>9</v>
      </c>
      <c r="L59" s="121" t="s">
        <v>10</v>
      </c>
      <c r="M59" s="121" t="s">
        <v>11</v>
      </c>
      <c r="N59" s="122" t="s">
        <v>12</v>
      </c>
    </row>
    <row r="60" spans="1:148" x14ac:dyDescent="0.2">
      <c r="A60" s="120"/>
      <c r="B60" s="21"/>
      <c r="C60" s="21"/>
      <c r="D60" s="21"/>
      <c r="E60" s="21"/>
      <c r="F60" s="21"/>
      <c r="G60" s="21"/>
      <c r="I60" s="123" t="s">
        <v>20</v>
      </c>
      <c r="J60" s="18">
        <f>W15</f>
        <v>1</v>
      </c>
      <c r="K60" s="124">
        <f>X15</f>
        <v>0</v>
      </c>
      <c r="L60" s="124">
        <f>Y15</f>
        <v>1</v>
      </c>
      <c r="M60" s="124">
        <f>Z15</f>
        <v>0</v>
      </c>
      <c r="N60" s="125">
        <f>AA15</f>
        <v>1</v>
      </c>
    </row>
    <row r="61" spans="1:148" ht="17" thickBot="1" x14ac:dyDescent="0.25">
      <c r="I61" s="126" t="s">
        <v>21</v>
      </c>
      <c r="J61" s="76">
        <f>J60*(5/W18)</f>
        <v>8.3333333333333329E-2</v>
      </c>
      <c r="K61" s="76">
        <f>K60*(5/X18)</f>
        <v>0</v>
      </c>
      <c r="L61" s="76">
        <f>L60*(5/Y18)</f>
        <v>8.3333333333333329E-2</v>
      </c>
      <c r="M61" s="76">
        <f>M60*(5/Z18)</f>
        <v>0</v>
      </c>
      <c r="N61" s="76">
        <f>N60*(5/AA18)</f>
        <v>8.3333333333333329E-2</v>
      </c>
    </row>
    <row r="62" spans="1:148" ht="17" thickBot="1" x14ac:dyDescent="0.25">
      <c r="I62" s="80" t="s">
        <v>83</v>
      </c>
    </row>
    <row r="63" spans="1:148" ht="17" thickBot="1" x14ac:dyDescent="0.25">
      <c r="I63" s="6" t="s">
        <v>39</v>
      </c>
      <c r="J63" s="2" t="s">
        <v>8</v>
      </c>
      <c r="K63" s="3" t="s">
        <v>9</v>
      </c>
      <c r="L63" s="3" t="s">
        <v>10</v>
      </c>
      <c r="M63" s="3" t="s">
        <v>11</v>
      </c>
      <c r="N63" s="3" t="s">
        <v>12</v>
      </c>
      <c r="O63" s="82" t="s">
        <v>21</v>
      </c>
      <c r="P63" s="83" t="s">
        <v>84</v>
      </c>
    </row>
    <row r="64" spans="1:148" x14ac:dyDescent="0.2">
      <c r="I64" s="88">
        <v>0</v>
      </c>
      <c r="J64" s="27">
        <v>0</v>
      </c>
      <c r="K64">
        <v>0</v>
      </c>
      <c r="L64">
        <v>0</v>
      </c>
      <c r="M64">
        <v>0</v>
      </c>
      <c r="N64">
        <v>0</v>
      </c>
      <c r="O64">
        <f>IF(J64=1,J$61,1-J$61)*IF(K64=1,K$61,1-K$61)*IF(L64=1,L$61,1-L$61)*IF(M64=1,M$61,1-M$61)*IF(N64=1,N$61,1-N$61)</f>
        <v>0.77025462962962954</v>
      </c>
      <c r="P64" s="74">
        <f>SUM(J64:N64)</f>
        <v>0</v>
      </c>
    </row>
    <row r="65" spans="9:16" x14ac:dyDescent="0.2">
      <c r="I65" s="88">
        <f>I64+1</f>
        <v>1</v>
      </c>
      <c r="J65" s="27">
        <v>0</v>
      </c>
      <c r="K65">
        <v>0</v>
      </c>
      <c r="L65">
        <v>0</v>
      </c>
      <c r="M65">
        <v>0</v>
      </c>
      <c r="N65">
        <v>1</v>
      </c>
      <c r="O65">
        <f t="shared" ref="O65:O95" si="87">IF(J65=1,J$61,1-J$61)*IF(K65=1,K$61,1-K$61)*IF(L65=1,L$61,1-L$61)*IF(M65=1,M$61,1-M$61)*IF(N65=1,N$61,1-N$61)</f>
        <v>7.002314814814814E-2</v>
      </c>
      <c r="P65" s="74">
        <f t="shared" ref="P65:P95" si="88">SUM(J65:N65)</f>
        <v>1</v>
      </c>
    </row>
    <row r="66" spans="9:16" x14ac:dyDescent="0.2">
      <c r="I66" s="88">
        <f t="shared" ref="I66:I95" si="89">I65+1</f>
        <v>2</v>
      </c>
      <c r="J66" s="27">
        <v>0</v>
      </c>
      <c r="K66">
        <v>0</v>
      </c>
      <c r="L66">
        <v>0</v>
      </c>
      <c r="M66">
        <v>1</v>
      </c>
      <c r="N66">
        <v>0</v>
      </c>
      <c r="O66">
        <f t="shared" si="87"/>
        <v>0</v>
      </c>
      <c r="P66" s="74">
        <f t="shared" si="88"/>
        <v>1</v>
      </c>
    </row>
    <row r="67" spans="9:16" x14ac:dyDescent="0.2">
      <c r="I67" s="88">
        <f t="shared" si="89"/>
        <v>3</v>
      </c>
      <c r="J67" s="27">
        <v>0</v>
      </c>
      <c r="K67">
        <v>0</v>
      </c>
      <c r="L67">
        <v>0</v>
      </c>
      <c r="M67">
        <v>1</v>
      </c>
      <c r="N67">
        <v>1</v>
      </c>
      <c r="O67">
        <f t="shared" si="87"/>
        <v>0</v>
      </c>
      <c r="P67" s="74">
        <f t="shared" si="88"/>
        <v>2</v>
      </c>
    </row>
    <row r="68" spans="9:16" x14ac:dyDescent="0.2">
      <c r="I68" s="88">
        <f t="shared" si="89"/>
        <v>4</v>
      </c>
      <c r="J68" s="27">
        <v>0</v>
      </c>
      <c r="K68">
        <v>0</v>
      </c>
      <c r="L68">
        <v>1</v>
      </c>
      <c r="M68">
        <v>0</v>
      </c>
      <c r="N68">
        <v>0</v>
      </c>
      <c r="O68">
        <f t="shared" si="87"/>
        <v>7.002314814814814E-2</v>
      </c>
      <c r="P68" s="74">
        <f t="shared" si="88"/>
        <v>1</v>
      </c>
    </row>
    <row r="69" spans="9:16" x14ac:dyDescent="0.2">
      <c r="I69" s="88">
        <f t="shared" si="89"/>
        <v>5</v>
      </c>
      <c r="J69" s="27">
        <v>0</v>
      </c>
      <c r="K69">
        <v>0</v>
      </c>
      <c r="L69">
        <v>1</v>
      </c>
      <c r="M69">
        <v>0</v>
      </c>
      <c r="N69">
        <v>1</v>
      </c>
      <c r="O69">
        <f t="shared" si="87"/>
        <v>6.3657407407407395E-3</v>
      </c>
      <c r="P69" s="74">
        <f t="shared" si="88"/>
        <v>2</v>
      </c>
    </row>
    <row r="70" spans="9:16" x14ac:dyDescent="0.2">
      <c r="I70" s="88">
        <f t="shared" si="89"/>
        <v>6</v>
      </c>
      <c r="J70" s="27">
        <v>0</v>
      </c>
      <c r="K70">
        <v>0</v>
      </c>
      <c r="L70">
        <v>1</v>
      </c>
      <c r="M70">
        <v>1</v>
      </c>
      <c r="N70">
        <v>0</v>
      </c>
      <c r="O70">
        <f t="shared" si="87"/>
        <v>0</v>
      </c>
      <c r="P70" s="74">
        <f t="shared" si="88"/>
        <v>2</v>
      </c>
    </row>
    <row r="71" spans="9:16" x14ac:dyDescent="0.2">
      <c r="I71" s="88">
        <f t="shared" si="89"/>
        <v>7</v>
      </c>
      <c r="J71" s="27">
        <v>0</v>
      </c>
      <c r="K71">
        <v>0</v>
      </c>
      <c r="L71">
        <v>1</v>
      </c>
      <c r="M71">
        <v>1</v>
      </c>
      <c r="N71">
        <v>1</v>
      </c>
      <c r="O71">
        <f t="shared" si="87"/>
        <v>0</v>
      </c>
      <c r="P71" s="74">
        <f t="shared" si="88"/>
        <v>3</v>
      </c>
    </row>
    <row r="72" spans="9:16" x14ac:dyDescent="0.2">
      <c r="I72" s="88">
        <f t="shared" si="89"/>
        <v>8</v>
      </c>
      <c r="J72" s="27">
        <v>0</v>
      </c>
      <c r="K72">
        <v>1</v>
      </c>
      <c r="L72">
        <v>0</v>
      </c>
      <c r="M72">
        <v>0</v>
      </c>
      <c r="N72">
        <v>0</v>
      </c>
      <c r="O72">
        <f t="shared" si="87"/>
        <v>0</v>
      </c>
      <c r="P72" s="74">
        <f t="shared" si="88"/>
        <v>1</v>
      </c>
    </row>
    <row r="73" spans="9:16" x14ac:dyDescent="0.2">
      <c r="I73" s="88">
        <f t="shared" si="89"/>
        <v>9</v>
      </c>
      <c r="J73" s="27">
        <v>0</v>
      </c>
      <c r="K73">
        <v>1</v>
      </c>
      <c r="L73">
        <v>0</v>
      </c>
      <c r="M73">
        <v>0</v>
      </c>
      <c r="N73">
        <v>1</v>
      </c>
      <c r="O73">
        <f t="shared" si="87"/>
        <v>0</v>
      </c>
      <c r="P73" s="74">
        <f t="shared" si="88"/>
        <v>2</v>
      </c>
    </row>
    <row r="74" spans="9:16" x14ac:dyDescent="0.2">
      <c r="I74" s="88">
        <f t="shared" si="89"/>
        <v>10</v>
      </c>
      <c r="J74" s="27">
        <v>0</v>
      </c>
      <c r="K74">
        <v>1</v>
      </c>
      <c r="L74">
        <v>0</v>
      </c>
      <c r="M74">
        <v>1</v>
      </c>
      <c r="N74">
        <v>0</v>
      </c>
      <c r="O74">
        <f t="shared" si="87"/>
        <v>0</v>
      </c>
      <c r="P74" s="74">
        <f t="shared" si="88"/>
        <v>2</v>
      </c>
    </row>
    <row r="75" spans="9:16" x14ac:dyDescent="0.2">
      <c r="I75" s="88">
        <f t="shared" si="89"/>
        <v>11</v>
      </c>
      <c r="J75" s="27">
        <v>0</v>
      </c>
      <c r="K75">
        <v>1</v>
      </c>
      <c r="L75">
        <v>0</v>
      </c>
      <c r="M75">
        <v>1</v>
      </c>
      <c r="N75">
        <v>1</v>
      </c>
      <c r="O75">
        <f t="shared" si="87"/>
        <v>0</v>
      </c>
      <c r="P75" s="74">
        <f t="shared" si="88"/>
        <v>3</v>
      </c>
    </row>
    <row r="76" spans="9:16" x14ac:dyDescent="0.2">
      <c r="I76" s="88">
        <f t="shared" si="89"/>
        <v>12</v>
      </c>
      <c r="J76" s="27">
        <v>0</v>
      </c>
      <c r="K76">
        <v>1</v>
      </c>
      <c r="L76">
        <v>1</v>
      </c>
      <c r="M76">
        <v>0</v>
      </c>
      <c r="N76">
        <v>0</v>
      </c>
      <c r="O76">
        <f t="shared" si="87"/>
        <v>0</v>
      </c>
      <c r="P76" s="74">
        <f t="shared" si="88"/>
        <v>2</v>
      </c>
    </row>
    <row r="77" spans="9:16" x14ac:dyDescent="0.2">
      <c r="I77" s="88">
        <f t="shared" si="89"/>
        <v>13</v>
      </c>
      <c r="J77" s="27">
        <v>0</v>
      </c>
      <c r="K77">
        <v>1</v>
      </c>
      <c r="L77">
        <v>1</v>
      </c>
      <c r="M77">
        <v>0</v>
      </c>
      <c r="N77">
        <v>1</v>
      </c>
      <c r="O77">
        <f t="shared" si="87"/>
        <v>0</v>
      </c>
      <c r="P77" s="74">
        <f t="shared" si="88"/>
        <v>3</v>
      </c>
    </row>
    <row r="78" spans="9:16" x14ac:dyDescent="0.2">
      <c r="I78" s="88">
        <f t="shared" si="89"/>
        <v>14</v>
      </c>
      <c r="J78" s="27">
        <v>0</v>
      </c>
      <c r="K78">
        <v>1</v>
      </c>
      <c r="L78">
        <v>1</v>
      </c>
      <c r="M78">
        <v>1</v>
      </c>
      <c r="N78">
        <v>0</v>
      </c>
      <c r="O78">
        <f t="shared" si="87"/>
        <v>0</v>
      </c>
      <c r="P78" s="74">
        <f t="shared" si="88"/>
        <v>3</v>
      </c>
    </row>
    <row r="79" spans="9:16" x14ac:dyDescent="0.2">
      <c r="I79" s="88">
        <f t="shared" si="89"/>
        <v>15</v>
      </c>
      <c r="J79" s="27">
        <v>0</v>
      </c>
      <c r="K79">
        <v>1</v>
      </c>
      <c r="L79">
        <v>1</v>
      </c>
      <c r="M79">
        <v>1</v>
      </c>
      <c r="N79">
        <v>1</v>
      </c>
      <c r="O79">
        <f t="shared" si="87"/>
        <v>0</v>
      </c>
      <c r="P79" s="74">
        <f t="shared" si="88"/>
        <v>4</v>
      </c>
    </row>
    <row r="80" spans="9:16" x14ac:dyDescent="0.2">
      <c r="I80" s="88">
        <f t="shared" si="89"/>
        <v>16</v>
      </c>
      <c r="J80" s="27">
        <v>1</v>
      </c>
      <c r="K80">
        <v>0</v>
      </c>
      <c r="L80">
        <v>0</v>
      </c>
      <c r="M80">
        <v>0</v>
      </c>
      <c r="N80">
        <v>0</v>
      </c>
      <c r="O80">
        <f t="shared" si="87"/>
        <v>7.002314814814814E-2</v>
      </c>
      <c r="P80" s="74">
        <f t="shared" si="88"/>
        <v>1</v>
      </c>
    </row>
    <row r="81" spans="6:16" x14ac:dyDescent="0.2">
      <c r="I81" s="88">
        <f t="shared" si="89"/>
        <v>17</v>
      </c>
      <c r="J81" s="27">
        <v>1</v>
      </c>
      <c r="K81">
        <v>0</v>
      </c>
      <c r="L81">
        <v>0</v>
      </c>
      <c r="M81">
        <v>0</v>
      </c>
      <c r="N81">
        <v>1</v>
      </c>
      <c r="O81">
        <f t="shared" si="87"/>
        <v>6.3657407407407395E-3</v>
      </c>
      <c r="P81" s="74">
        <f t="shared" si="88"/>
        <v>2</v>
      </c>
    </row>
    <row r="82" spans="6:16" x14ac:dyDescent="0.2">
      <c r="I82" s="88">
        <f t="shared" si="89"/>
        <v>18</v>
      </c>
      <c r="J82" s="27">
        <v>1</v>
      </c>
      <c r="K82">
        <v>0</v>
      </c>
      <c r="L82">
        <v>0</v>
      </c>
      <c r="M82">
        <v>1</v>
      </c>
      <c r="N82">
        <v>0</v>
      </c>
      <c r="O82">
        <f t="shared" si="87"/>
        <v>0</v>
      </c>
      <c r="P82" s="74">
        <f t="shared" si="88"/>
        <v>2</v>
      </c>
    </row>
    <row r="83" spans="6:16" x14ac:dyDescent="0.2">
      <c r="I83" s="88">
        <f t="shared" si="89"/>
        <v>19</v>
      </c>
      <c r="J83" s="27">
        <v>1</v>
      </c>
      <c r="K83">
        <v>0</v>
      </c>
      <c r="L83">
        <v>0</v>
      </c>
      <c r="M83">
        <v>1</v>
      </c>
      <c r="N83">
        <v>1</v>
      </c>
      <c r="O83">
        <f t="shared" si="87"/>
        <v>0</v>
      </c>
      <c r="P83" s="74">
        <f t="shared" si="88"/>
        <v>3</v>
      </c>
    </row>
    <row r="84" spans="6:16" x14ac:dyDescent="0.2">
      <c r="I84" s="88">
        <f t="shared" si="89"/>
        <v>20</v>
      </c>
      <c r="J84" s="27">
        <v>1</v>
      </c>
      <c r="K84">
        <v>0</v>
      </c>
      <c r="L84">
        <v>1</v>
      </c>
      <c r="M84">
        <v>0</v>
      </c>
      <c r="N84">
        <v>0</v>
      </c>
      <c r="O84">
        <f t="shared" si="87"/>
        <v>6.3657407407407404E-3</v>
      </c>
      <c r="P84" s="74">
        <f t="shared" si="88"/>
        <v>2</v>
      </c>
    </row>
    <row r="85" spans="6:16" x14ac:dyDescent="0.2">
      <c r="I85" s="88">
        <f t="shared" si="89"/>
        <v>21</v>
      </c>
      <c r="J85" s="27">
        <v>1</v>
      </c>
      <c r="K85">
        <v>0</v>
      </c>
      <c r="L85">
        <v>1</v>
      </c>
      <c r="M85">
        <v>0</v>
      </c>
      <c r="N85">
        <v>1</v>
      </c>
      <c r="O85">
        <f t="shared" si="87"/>
        <v>5.7870370370370367E-4</v>
      </c>
      <c r="P85" s="74">
        <f t="shared" si="88"/>
        <v>3</v>
      </c>
    </row>
    <row r="86" spans="6:16" x14ac:dyDescent="0.2">
      <c r="I86" s="88">
        <f t="shared" si="89"/>
        <v>22</v>
      </c>
      <c r="J86" s="27">
        <v>1</v>
      </c>
      <c r="K86">
        <v>0</v>
      </c>
      <c r="L86">
        <v>1</v>
      </c>
      <c r="M86">
        <v>1</v>
      </c>
      <c r="N86">
        <v>0</v>
      </c>
      <c r="O86">
        <f t="shared" si="87"/>
        <v>0</v>
      </c>
      <c r="P86" s="74">
        <f t="shared" si="88"/>
        <v>3</v>
      </c>
    </row>
    <row r="87" spans="6:16" x14ac:dyDescent="0.2">
      <c r="I87" s="88">
        <f t="shared" si="89"/>
        <v>23</v>
      </c>
      <c r="J87" s="27">
        <v>1</v>
      </c>
      <c r="K87">
        <v>0</v>
      </c>
      <c r="L87">
        <v>1</v>
      </c>
      <c r="M87">
        <v>1</v>
      </c>
      <c r="N87">
        <v>1</v>
      </c>
      <c r="O87">
        <f t="shared" si="87"/>
        <v>0</v>
      </c>
      <c r="P87" s="74">
        <f t="shared" si="88"/>
        <v>4</v>
      </c>
    </row>
    <row r="88" spans="6:16" x14ac:dyDescent="0.2">
      <c r="I88" s="88">
        <f t="shared" si="89"/>
        <v>24</v>
      </c>
      <c r="J88" s="27">
        <v>1</v>
      </c>
      <c r="K88">
        <v>1</v>
      </c>
      <c r="L88">
        <v>0</v>
      </c>
      <c r="M88">
        <v>0</v>
      </c>
      <c r="N88">
        <v>0</v>
      </c>
      <c r="O88">
        <f t="shared" si="87"/>
        <v>0</v>
      </c>
      <c r="P88" s="74">
        <f t="shared" si="88"/>
        <v>2</v>
      </c>
    </row>
    <row r="89" spans="6:16" x14ac:dyDescent="0.2">
      <c r="I89" s="88">
        <f t="shared" si="89"/>
        <v>25</v>
      </c>
      <c r="J89" s="27">
        <v>1</v>
      </c>
      <c r="K89">
        <v>1</v>
      </c>
      <c r="L89">
        <v>0</v>
      </c>
      <c r="M89">
        <v>0</v>
      </c>
      <c r="N89">
        <v>1</v>
      </c>
      <c r="O89">
        <f t="shared" si="87"/>
        <v>0</v>
      </c>
      <c r="P89" s="74">
        <f t="shared" si="88"/>
        <v>3</v>
      </c>
    </row>
    <row r="90" spans="6:16" x14ac:dyDescent="0.2">
      <c r="F90" s="127"/>
      <c r="I90" s="88">
        <f t="shared" si="89"/>
        <v>26</v>
      </c>
      <c r="J90" s="27">
        <v>1</v>
      </c>
      <c r="K90">
        <v>1</v>
      </c>
      <c r="L90">
        <v>0</v>
      </c>
      <c r="M90">
        <v>1</v>
      </c>
      <c r="N90">
        <v>0</v>
      </c>
      <c r="O90">
        <f t="shared" si="87"/>
        <v>0</v>
      </c>
      <c r="P90" s="74">
        <f t="shared" si="88"/>
        <v>3</v>
      </c>
    </row>
    <row r="91" spans="6:16" x14ac:dyDescent="0.2">
      <c r="I91" s="88">
        <f t="shared" si="89"/>
        <v>27</v>
      </c>
      <c r="J91" s="27">
        <v>1</v>
      </c>
      <c r="K91">
        <v>1</v>
      </c>
      <c r="L91">
        <v>0</v>
      </c>
      <c r="M91">
        <v>1</v>
      </c>
      <c r="N91">
        <v>1</v>
      </c>
      <c r="O91">
        <f t="shared" si="87"/>
        <v>0</v>
      </c>
      <c r="P91" s="74">
        <f t="shared" si="88"/>
        <v>4</v>
      </c>
    </row>
    <row r="92" spans="6:16" x14ac:dyDescent="0.2">
      <c r="I92" s="88">
        <f t="shared" si="89"/>
        <v>28</v>
      </c>
      <c r="J92" s="27">
        <v>1</v>
      </c>
      <c r="K92">
        <v>1</v>
      </c>
      <c r="L92">
        <v>1</v>
      </c>
      <c r="M92">
        <v>0</v>
      </c>
      <c r="N92">
        <v>0</v>
      </c>
      <c r="O92">
        <f t="shared" si="87"/>
        <v>0</v>
      </c>
      <c r="P92" s="74">
        <f t="shared" si="88"/>
        <v>3</v>
      </c>
    </row>
    <row r="93" spans="6:16" x14ac:dyDescent="0.2">
      <c r="I93" s="88">
        <f t="shared" si="89"/>
        <v>29</v>
      </c>
      <c r="J93" s="27">
        <v>1</v>
      </c>
      <c r="K93">
        <v>1</v>
      </c>
      <c r="L93">
        <v>1</v>
      </c>
      <c r="M93">
        <v>0</v>
      </c>
      <c r="N93">
        <v>1</v>
      </c>
      <c r="O93">
        <f t="shared" si="87"/>
        <v>0</v>
      </c>
      <c r="P93" s="74">
        <f t="shared" si="88"/>
        <v>4</v>
      </c>
    </row>
    <row r="94" spans="6:16" x14ac:dyDescent="0.2">
      <c r="I94" s="88">
        <f>I93+1</f>
        <v>30</v>
      </c>
      <c r="J94" s="27">
        <v>1</v>
      </c>
      <c r="K94">
        <v>1</v>
      </c>
      <c r="L94">
        <v>1</v>
      </c>
      <c r="M94">
        <v>1</v>
      </c>
      <c r="N94">
        <v>0</v>
      </c>
      <c r="O94">
        <f t="shared" si="87"/>
        <v>0</v>
      </c>
      <c r="P94" s="74">
        <f t="shared" si="88"/>
        <v>4</v>
      </c>
    </row>
    <row r="95" spans="6:16" ht="17" thickBot="1" x14ac:dyDescent="0.25">
      <c r="I95" s="105">
        <f t="shared" si="89"/>
        <v>31</v>
      </c>
      <c r="J95" s="33">
        <v>1</v>
      </c>
      <c r="K95" s="106">
        <v>1</v>
      </c>
      <c r="L95" s="106">
        <v>1</v>
      </c>
      <c r="M95" s="106">
        <v>1</v>
      </c>
      <c r="N95" s="106">
        <v>1</v>
      </c>
      <c r="O95" s="106">
        <f t="shared" si="87"/>
        <v>0</v>
      </c>
      <c r="P95" s="107">
        <f t="shared" si="88"/>
        <v>5</v>
      </c>
    </row>
    <row r="96" spans="6:16" x14ac:dyDescent="0.2">
      <c r="I96" s="127"/>
    </row>
  </sheetData>
  <mergeCells count="20">
    <mergeCell ref="B8:E8"/>
    <mergeCell ref="CK24:EM24"/>
    <mergeCell ref="EN24:ER24"/>
    <mergeCell ref="I2:K2"/>
    <mergeCell ref="M2:O2"/>
    <mergeCell ref="Q2:T2"/>
    <mergeCell ref="V2:AA2"/>
    <mergeCell ref="ED25:EH25"/>
    <mergeCell ref="EI25:EM25"/>
    <mergeCell ref="CF25:CJ25"/>
    <mergeCell ref="CK25:CO25"/>
    <mergeCell ref="CP25:CT25"/>
    <mergeCell ref="CU25:CY25"/>
    <mergeCell ref="CZ25:DD25"/>
    <mergeCell ref="DE25:DI25"/>
    <mergeCell ref="A40:F40"/>
    <mergeCell ref="DJ25:DN25"/>
    <mergeCell ref="DO25:DS25"/>
    <mergeCell ref="DT25:DX25"/>
    <mergeCell ref="DY25:EC25"/>
  </mergeCells>
  <conditionalFormatting sqref="A41:A56">
    <cfRule type="containsText" dxfId="54" priority="1" stopIfTrue="1" operator="containsText" text="Iron Man">
      <formula>NOT(ISERROR(SEARCH("Iron Man",A41)))</formula>
    </cfRule>
    <cfRule type="containsText" dxfId="53" priority="2" stopIfTrue="1" operator="containsText" text="War Machine">
      <formula>NOT(ISERROR(SEARCH("War Machine",A41)))</formula>
    </cfRule>
    <cfRule type="containsText" dxfId="52" priority="3" stopIfTrue="1" operator="containsText" text="D Machine">
      <formula>NOT(ISERROR(SEARCH("D Machine",A41)))</formula>
    </cfRule>
    <cfRule type="containsText" dxfId="51" priority="4" stopIfTrue="1" operator="containsText" text="C MAchine">
      <formula>NOT(ISERROR(SEARCH("C MAchine",A41)))</formula>
    </cfRule>
    <cfRule type="containsText" dxfId="50" priority="5" stopIfTrue="1" operator="containsText" text="B Machine">
      <formula>NOT(ISERROR(SEARCH("B Machine",A41)))</formula>
    </cfRule>
    <cfRule type="containsText" dxfId="49" priority="6" stopIfTrue="1" operator="containsText" text="A Machine">
      <formula>NOT(ISERROR(SEARCH("A Machine",A41)))</formula>
    </cfRule>
  </conditionalFormatting>
  <conditionalFormatting sqref="A59:A60">
    <cfRule type="containsText" dxfId="48" priority="21" stopIfTrue="1" operator="containsText" text="Iron Man">
      <formula>NOT(ISERROR(SEARCH("Iron Man",A59)))</formula>
    </cfRule>
    <cfRule type="containsText" dxfId="47" priority="22" stopIfTrue="1" operator="containsText" text="War Machine">
      <formula>NOT(ISERROR(SEARCH("War Machine",A59)))</formula>
    </cfRule>
    <cfRule type="containsText" dxfId="46" priority="23" stopIfTrue="1" operator="containsText" text="D Machine">
      <formula>NOT(ISERROR(SEARCH("D Machine",A59)))</formula>
    </cfRule>
    <cfRule type="containsText" dxfId="45" priority="24" stopIfTrue="1" operator="containsText" text="C MAchine">
      <formula>NOT(ISERROR(SEARCH("C MAchine",A59)))</formula>
    </cfRule>
    <cfRule type="containsText" dxfId="44" priority="25" stopIfTrue="1" operator="containsText" text="B Machine">
      <formula>NOT(ISERROR(SEARCH("B Machine",A59)))</formula>
    </cfRule>
    <cfRule type="containsText" dxfId="43" priority="26" stopIfTrue="1" operator="containsText" text="A Machine">
      <formula>NOT(ISERROR(SEARCH("A Machine",A59)))</formula>
    </cfRule>
  </conditionalFormatting>
  <conditionalFormatting sqref="F8 B9:E10 B11 C11:D12 Q23 O26:O57 O64:O96">
    <cfRule type="cellIs" dxfId="42" priority="20" stopIfTrue="1" operator="equal">
      <formula>1</formula>
    </cfRule>
  </conditionalFormatting>
  <conditionalFormatting sqref="V3:V18">
    <cfRule type="containsText" dxfId="41" priority="14" stopIfTrue="1" operator="containsText" text="Iron Man">
      <formula>NOT(ISERROR(SEARCH("Iron Man",V3)))</formula>
    </cfRule>
    <cfRule type="containsText" dxfId="40" priority="15" stopIfTrue="1" operator="containsText" text="War Machine">
      <formula>NOT(ISERROR(SEARCH("War Machine",V3)))</formula>
    </cfRule>
    <cfRule type="containsText" dxfId="39" priority="16" stopIfTrue="1" operator="containsText" text="D Machine">
      <formula>NOT(ISERROR(SEARCH("D Machine",V3)))</formula>
    </cfRule>
    <cfRule type="containsText" dxfId="38" priority="17" stopIfTrue="1" operator="containsText" text="C MAchine">
      <formula>NOT(ISERROR(SEARCH("C MAchine",V3)))</formula>
    </cfRule>
    <cfRule type="containsText" dxfId="37" priority="18" stopIfTrue="1" operator="containsText" text="B Machine">
      <formula>NOT(ISERROR(SEARCH("B Machine",V3)))</formula>
    </cfRule>
    <cfRule type="containsText" dxfId="36" priority="19" stopIfTrue="1" operator="containsText" text="A Machine">
      <formula>NOT(ISERROR(SEARCH("A Machine",V3)))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08BA-1E80-244F-9DE7-C1A9D20AAEE3}">
  <dimension ref="B2:T102"/>
  <sheetViews>
    <sheetView zoomScale="140" zoomScaleNormal="140" workbookViewId="0">
      <selection activeCell="K18" sqref="K18"/>
    </sheetView>
  </sheetViews>
  <sheetFormatPr baseColWidth="10" defaultRowHeight="13" x14ac:dyDescent="0.15"/>
  <cols>
    <col min="1" max="1" width="10.83203125" style="130"/>
    <col min="2" max="2" width="21" style="130" bestFit="1" customWidth="1"/>
    <col min="3" max="3" width="12.33203125" style="130" bestFit="1" customWidth="1"/>
    <col min="4" max="4" width="12.5" style="130" bestFit="1" customWidth="1"/>
    <col min="5" max="5" width="12.1640625" style="130" bestFit="1" customWidth="1"/>
    <col min="6" max="6" width="10.83203125" style="130"/>
    <col min="7" max="7" width="12.33203125" style="130" bestFit="1" customWidth="1"/>
    <col min="8" max="8" width="16.5" style="130" customWidth="1"/>
    <col min="9" max="9" width="24" style="130" bestFit="1" customWidth="1"/>
    <col min="10" max="10" width="16.83203125" style="130" customWidth="1"/>
    <col min="11" max="11" width="10.83203125" style="130"/>
    <col min="12" max="12" width="23.33203125" style="130" bestFit="1" customWidth="1"/>
    <col min="13" max="13" width="15.6640625" style="130" customWidth="1"/>
    <col min="14" max="16384" width="10.83203125" style="130"/>
  </cols>
  <sheetData>
    <row r="2" spans="2:19" ht="17" thickBot="1" x14ac:dyDescent="0.25">
      <c r="B2" s="128" t="s">
        <v>76</v>
      </c>
      <c r="C2" s="129" t="s">
        <v>77</v>
      </c>
      <c r="D2" s="129" t="s">
        <v>85</v>
      </c>
      <c r="E2" s="129" t="s">
        <v>79</v>
      </c>
      <c r="F2" s="129" t="s">
        <v>80</v>
      </c>
      <c r="G2" s="129"/>
      <c r="K2" s="131"/>
      <c r="L2" s="131"/>
      <c r="M2" s="132" t="s">
        <v>86</v>
      </c>
      <c r="N2" s="131" t="s">
        <v>87</v>
      </c>
      <c r="O2" s="133"/>
      <c r="P2" s="133"/>
      <c r="Q2" s="133"/>
      <c r="R2" s="131"/>
      <c r="S2" s="131"/>
    </row>
    <row r="3" spans="2:19" ht="15" x14ac:dyDescent="0.2">
      <c r="B3" s="134" t="s">
        <v>6</v>
      </c>
      <c r="C3" s="103">
        <v>0</v>
      </c>
      <c r="D3" s="103">
        <v>0</v>
      </c>
      <c r="E3" s="103">
        <v>0</v>
      </c>
      <c r="F3" s="103">
        <v>0</v>
      </c>
      <c r="G3" s="135"/>
      <c r="I3" s="136" t="s">
        <v>88</v>
      </c>
      <c r="J3" s="137">
        <f>SUM(C50:E60)</f>
        <v>90162228</v>
      </c>
      <c r="L3" s="138" t="s">
        <v>89</v>
      </c>
      <c r="M3" s="139">
        <f>(SUM(C18:G19)+SUM(C17:G17))*3/40</f>
        <v>4.125</v>
      </c>
      <c r="N3" s="140">
        <f>G67</f>
        <v>0</v>
      </c>
      <c r="O3" s="139"/>
      <c r="P3" s="139"/>
      <c r="Q3" s="139"/>
    </row>
    <row r="4" spans="2:19" ht="16" x14ac:dyDescent="0.2">
      <c r="B4" s="134" t="s">
        <v>15</v>
      </c>
      <c r="C4" s="42">
        <v>20</v>
      </c>
      <c r="D4" s="42">
        <v>10</v>
      </c>
      <c r="E4" s="42">
        <v>5</v>
      </c>
      <c r="F4" s="42">
        <v>0</v>
      </c>
      <c r="G4" s="135"/>
      <c r="I4" s="141" t="s">
        <v>90</v>
      </c>
      <c r="J4" s="142">
        <f>PRODUCT(C29:G29)</f>
        <v>777600000</v>
      </c>
      <c r="L4" s="138" t="s">
        <v>91</v>
      </c>
      <c r="M4" s="139">
        <f>(SUM(C20:G21)+SUM(C17:G17))*3/40</f>
        <v>4.5</v>
      </c>
      <c r="N4" s="140">
        <f>G69</f>
        <v>0</v>
      </c>
      <c r="O4" s="138"/>
    </row>
    <row r="5" spans="2:19" ht="16" x14ac:dyDescent="0.2">
      <c r="B5" s="134" t="s">
        <v>16</v>
      </c>
      <c r="C5" s="42">
        <v>5</v>
      </c>
      <c r="D5" s="42">
        <v>3</v>
      </c>
      <c r="E5" s="42">
        <v>2</v>
      </c>
      <c r="F5" s="42">
        <v>0</v>
      </c>
      <c r="G5" s="135"/>
      <c r="I5" s="141" t="s">
        <v>92</v>
      </c>
      <c r="J5" s="143">
        <f>SUM(C33:E44)</f>
        <v>7210800</v>
      </c>
      <c r="L5" s="138" t="s">
        <v>93</v>
      </c>
      <c r="M5" s="139">
        <f>(SUM(C22:G23)+SUM(C17:G17))*3/40</f>
        <v>4.2750000000000004</v>
      </c>
      <c r="N5" s="140">
        <f>G71</f>
        <v>0</v>
      </c>
      <c r="O5" s="138"/>
    </row>
    <row r="6" spans="2:19" ht="17" thickBot="1" x14ac:dyDescent="0.25">
      <c r="B6" s="134" t="s">
        <v>17</v>
      </c>
      <c r="C6" s="42">
        <v>3</v>
      </c>
      <c r="D6" s="42">
        <v>2</v>
      </c>
      <c r="E6" s="42">
        <v>1</v>
      </c>
      <c r="F6" s="42">
        <v>0</v>
      </c>
      <c r="G6" s="135"/>
      <c r="I6" s="144" t="s">
        <v>13</v>
      </c>
      <c r="J6" s="145">
        <f>J3/J4</f>
        <v>0.11594936728395061</v>
      </c>
      <c r="L6" s="138"/>
      <c r="M6" s="146"/>
      <c r="N6" s="138"/>
      <c r="O6" s="138"/>
    </row>
    <row r="7" spans="2:19" ht="17" thickBot="1" x14ac:dyDescent="0.25">
      <c r="B7" s="134" t="s">
        <v>19</v>
      </c>
      <c r="C7" s="42">
        <v>2</v>
      </c>
      <c r="D7" s="42">
        <v>1</v>
      </c>
      <c r="E7" s="42">
        <v>0.5</v>
      </c>
      <c r="F7" s="42">
        <v>0</v>
      </c>
      <c r="G7" s="135"/>
      <c r="M7" s="130" t="s">
        <v>94</v>
      </c>
      <c r="N7" s="138" t="s">
        <v>95</v>
      </c>
      <c r="O7" s="138"/>
    </row>
    <row r="8" spans="2:19" ht="16" x14ac:dyDescent="0.2">
      <c r="B8" s="134" t="s">
        <v>24</v>
      </c>
      <c r="C8" s="42">
        <v>1</v>
      </c>
      <c r="D8" s="42">
        <v>0.5</v>
      </c>
      <c r="E8" s="42">
        <v>0.2</v>
      </c>
      <c r="F8" s="42">
        <v>0</v>
      </c>
      <c r="G8" s="135"/>
      <c r="I8" s="136" t="s">
        <v>96</v>
      </c>
      <c r="J8" s="137">
        <v>15</v>
      </c>
      <c r="L8" s="130" t="s">
        <v>97</v>
      </c>
      <c r="M8" s="140">
        <f>G67*(1-G69)*(1-G71)</f>
        <v>0</v>
      </c>
      <c r="N8" s="138">
        <f>M8*M3</f>
        <v>0</v>
      </c>
      <c r="O8" s="138"/>
    </row>
    <row r="9" spans="2:19" ht="16" x14ac:dyDescent="0.2">
      <c r="B9" s="134" t="s">
        <v>118</v>
      </c>
      <c r="C9" s="42">
        <v>0.5</v>
      </c>
      <c r="D9" s="42">
        <v>0.2</v>
      </c>
      <c r="E9" s="42">
        <v>0.1</v>
      </c>
      <c r="F9" s="42">
        <v>0</v>
      </c>
      <c r="G9" s="135"/>
      <c r="I9" s="141" t="s">
        <v>98</v>
      </c>
      <c r="J9" s="142">
        <v>5</v>
      </c>
      <c r="L9" s="130" t="s">
        <v>99</v>
      </c>
      <c r="M9" s="140">
        <f>(1-G67)*G69*(1-G71)</f>
        <v>0</v>
      </c>
      <c r="N9" s="138">
        <f t="shared" ref="N9:N10" si="0">M9*M4</f>
        <v>0</v>
      </c>
      <c r="O9" s="138"/>
    </row>
    <row r="10" spans="2:19" ht="16" x14ac:dyDescent="0.2">
      <c r="B10" s="134" t="s">
        <v>119</v>
      </c>
      <c r="C10" s="42">
        <v>0.5</v>
      </c>
      <c r="D10" s="42">
        <v>0.2</v>
      </c>
      <c r="E10" s="42">
        <v>0.1</v>
      </c>
      <c r="F10" s="42">
        <v>0</v>
      </c>
      <c r="G10" s="135"/>
      <c r="I10" s="141" t="s">
        <v>100</v>
      </c>
      <c r="J10" s="147">
        <f>(C28*J9)*(E28*J9)*(G28*J9)/(C29*E29*G29)</f>
        <v>4.6296296296296294E-3</v>
      </c>
      <c r="L10" s="130" t="s">
        <v>101</v>
      </c>
      <c r="M10" s="140">
        <f>(1-G67)*(1-G69)*G71</f>
        <v>0</v>
      </c>
      <c r="N10" s="138">
        <f t="shared" si="0"/>
        <v>0</v>
      </c>
      <c r="O10" s="138"/>
    </row>
    <row r="11" spans="2:19" ht="17" thickBot="1" x14ac:dyDescent="0.25">
      <c r="B11" s="134" t="s">
        <v>120</v>
      </c>
      <c r="C11" s="42">
        <v>0.5</v>
      </c>
      <c r="D11" s="42">
        <v>0.2</v>
      </c>
      <c r="E11" s="42">
        <v>0.1</v>
      </c>
      <c r="F11" s="42">
        <v>0</v>
      </c>
      <c r="G11" s="135"/>
      <c r="I11" s="144" t="s">
        <v>102</v>
      </c>
      <c r="J11" s="148">
        <f>1/J10</f>
        <v>216</v>
      </c>
      <c r="L11" s="138" t="s">
        <v>103</v>
      </c>
      <c r="M11" s="140">
        <f>G67*G69*(1-G71)</f>
        <v>0</v>
      </c>
      <c r="N11" s="138">
        <f>M11*M3*M4</f>
        <v>0</v>
      </c>
      <c r="O11" s="138"/>
    </row>
    <row r="12" spans="2:19" ht="16" x14ac:dyDescent="0.2">
      <c r="B12" s="134" t="s">
        <v>121</v>
      </c>
      <c r="C12" s="42">
        <v>0.5</v>
      </c>
      <c r="D12" s="42">
        <v>0.2</v>
      </c>
      <c r="E12" s="42">
        <v>0.1</v>
      </c>
      <c r="F12" s="42">
        <v>0</v>
      </c>
      <c r="G12" s="135"/>
      <c r="I12" s="149"/>
      <c r="J12" s="150"/>
      <c r="L12" s="138" t="s">
        <v>104</v>
      </c>
      <c r="M12" s="140">
        <f>G67*G71*(1-G69)</f>
        <v>0</v>
      </c>
      <c r="N12" s="138">
        <f>M12*M3*M5</f>
        <v>0</v>
      </c>
      <c r="O12" s="138"/>
    </row>
    <row r="13" spans="2:19" ht="16" x14ac:dyDescent="0.2">
      <c r="B13" s="134" t="s">
        <v>122</v>
      </c>
      <c r="C13" s="42">
        <v>0.5</v>
      </c>
      <c r="D13" s="42">
        <v>0.2</v>
      </c>
      <c r="E13" s="42">
        <v>0.1</v>
      </c>
      <c r="F13" s="42">
        <v>0</v>
      </c>
      <c r="G13" s="135"/>
      <c r="L13" s="138" t="s">
        <v>105</v>
      </c>
      <c r="M13" s="140">
        <f>G69*G71*(1-G67)</f>
        <v>0</v>
      </c>
      <c r="N13" s="138">
        <f>M13*M4*M5</f>
        <v>0</v>
      </c>
      <c r="O13" s="138"/>
    </row>
    <row r="14" spans="2:19" ht="17" thickBot="1" x14ac:dyDescent="0.25">
      <c r="B14" s="151"/>
      <c r="C14" s="152"/>
      <c r="D14" s="152"/>
      <c r="E14" s="152"/>
      <c r="F14" s="152"/>
      <c r="J14" s="153"/>
      <c r="L14" s="138" t="s">
        <v>106</v>
      </c>
      <c r="M14" s="140">
        <f>G67*G69*G71</f>
        <v>0</v>
      </c>
      <c r="N14" s="138">
        <f>M14*M3*M4*M5</f>
        <v>0</v>
      </c>
      <c r="O14" s="138"/>
    </row>
    <row r="15" spans="2:19" ht="14" thickBot="1" x14ac:dyDescent="0.2">
      <c r="B15" s="154"/>
      <c r="C15" s="155"/>
      <c r="D15" s="155"/>
      <c r="E15" s="155"/>
      <c r="F15" s="155"/>
      <c r="G15" s="156"/>
      <c r="J15" s="157"/>
      <c r="M15" s="158"/>
      <c r="N15" s="138"/>
      <c r="O15" s="138"/>
    </row>
    <row r="16" spans="2:19" ht="16" thickBot="1" x14ac:dyDescent="0.25">
      <c r="B16" s="159" t="s">
        <v>7</v>
      </c>
      <c r="C16" s="160" t="s">
        <v>8</v>
      </c>
      <c r="D16" s="160" t="s">
        <v>9</v>
      </c>
      <c r="E16" s="160" t="s">
        <v>10</v>
      </c>
      <c r="F16" s="160" t="s">
        <v>11</v>
      </c>
      <c r="G16" s="161" t="s">
        <v>12</v>
      </c>
      <c r="H16" s="162"/>
      <c r="J16" s="163"/>
      <c r="L16" s="138"/>
      <c r="M16" s="164"/>
    </row>
    <row r="17" spans="2:18" x14ac:dyDescent="0.15">
      <c r="B17" s="165" t="str" cm="1">
        <f t="array" ref="B17:B27">B3:B13</f>
        <v>Wild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138"/>
    </row>
    <row r="18" spans="2:18" ht="17" customHeight="1" x14ac:dyDescent="0.15">
      <c r="B18" s="166" t="str">
        <v>T1</v>
      </c>
      <c r="C18" s="20">
        <v>5</v>
      </c>
      <c r="D18" s="20">
        <v>5</v>
      </c>
      <c r="E18" s="20">
        <v>5</v>
      </c>
      <c r="F18" s="20">
        <v>5</v>
      </c>
      <c r="G18" s="20">
        <v>5</v>
      </c>
    </row>
    <row r="19" spans="2:18" ht="17" customHeight="1" x14ac:dyDescent="0.15">
      <c r="B19" s="166" t="str">
        <v>T2</v>
      </c>
      <c r="C19" s="20">
        <v>6</v>
      </c>
      <c r="D19" s="20">
        <v>6</v>
      </c>
      <c r="E19" s="20">
        <v>6</v>
      </c>
      <c r="F19" s="20">
        <v>6</v>
      </c>
      <c r="G19" s="20">
        <v>6</v>
      </c>
      <c r="H19" s="138"/>
      <c r="I19" s="130">
        <f>5^3</f>
        <v>125</v>
      </c>
    </row>
    <row r="20" spans="2:18" x14ac:dyDescent="0.15">
      <c r="B20" s="166" t="str">
        <v>T3</v>
      </c>
      <c r="C20" s="20">
        <v>6</v>
      </c>
      <c r="D20" s="20">
        <v>6</v>
      </c>
      <c r="E20" s="20">
        <v>6</v>
      </c>
      <c r="F20" s="20">
        <v>6</v>
      </c>
      <c r="G20" s="20">
        <v>6</v>
      </c>
      <c r="H20" s="138"/>
    </row>
    <row r="21" spans="2:18" x14ac:dyDescent="0.15">
      <c r="B21" s="166" t="str">
        <v>T4</v>
      </c>
      <c r="C21" s="20">
        <v>6</v>
      </c>
      <c r="D21" s="20">
        <v>6</v>
      </c>
      <c r="E21" s="20">
        <v>6</v>
      </c>
      <c r="F21" s="20">
        <v>6</v>
      </c>
      <c r="G21" s="20">
        <v>6</v>
      </c>
      <c r="H21" s="138"/>
      <c r="I21" s="130">
        <f>10^5-125*36-625*6</f>
        <v>91750</v>
      </c>
    </row>
    <row r="22" spans="2:18" x14ac:dyDescent="0.15">
      <c r="B22" s="166" t="str">
        <v>T5</v>
      </c>
      <c r="C22" s="20">
        <v>6</v>
      </c>
      <c r="D22" s="20">
        <v>6</v>
      </c>
      <c r="E22" s="20">
        <v>6</v>
      </c>
      <c r="F22" s="20">
        <v>6</v>
      </c>
      <c r="G22" s="20">
        <v>6</v>
      </c>
      <c r="H22" s="138"/>
      <c r="I22" s="130">
        <f>I21*15</f>
        <v>1376250</v>
      </c>
    </row>
    <row r="23" spans="2:18" x14ac:dyDescent="0.15">
      <c r="B23" s="166" t="str">
        <v>L1</v>
      </c>
      <c r="C23" s="20">
        <v>5</v>
      </c>
      <c r="D23" s="20">
        <v>6</v>
      </c>
      <c r="E23" s="20">
        <v>5</v>
      </c>
      <c r="F23" s="20">
        <v>6</v>
      </c>
      <c r="G23" s="20">
        <v>5</v>
      </c>
      <c r="H23" s="138"/>
    </row>
    <row r="24" spans="2:18" x14ac:dyDescent="0.15">
      <c r="B24" s="166" t="str">
        <v>L2</v>
      </c>
      <c r="C24" s="20">
        <v>6</v>
      </c>
      <c r="D24" s="20">
        <v>6</v>
      </c>
      <c r="E24" s="20">
        <v>6</v>
      </c>
      <c r="F24" s="20">
        <v>6</v>
      </c>
      <c r="G24" s="20">
        <v>6</v>
      </c>
      <c r="H24" s="138"/>
    </row>
    <row r="25" spans="2:18" x14ac:dyDescent="0.15">
      <c r="B25" s="166" t="str">
        <v>L3</v>
      </c>
      <c r="C25" s="20">
        <v>6</v>
      </c>
      <c r="D25" s="20">
        <v>6</v>
      </c>
      <c r="E25" s="20">
        <v>6</v>
      </c>
      <c r="F25" s="20">
        <v>6</v>
      </c>
      <c r="G25" s="20">
        <v>6</v>
      </c>
      <c r="H25" s="138"/>
    </row>
    <row r="26" spans="2:18" x14ac:dyDescent="0.15">
      <c r="B26" s="167" t="str">
        <v>L4</v>
      </c>
      <c r="C26" s="20">
        <v>6</v>
      </c>
      <c r="D26" s="20">
        <v>6</v>
      </c>
      <c r="E26" s="20">
        <v>6</v>
      </c>
      <c r="F26" s="20">
        <v>6</v>
      </c>
      <c r="G26" s="20">
        <v>6</v>
      </c>
      <c r="H26" s="138"/>
    </row>
    <row r="27" spans="2:18" x14ac:dyDescent="0.15">
      <c r="B27" s="167" t="str">
        <v>L5</v>
      </c>
      <c r="C27" s="20">
        <v>6</v>
      </c>
      <c r="D27" s="20">
        <v>6</v>
      </c>
      <c r="E27" s="20">
        <v>6</v>
      </c>
      <c r="F27" s="20">
        <v>6</v>
      </c>
      <c r="G27" s="20">
        <v>6</v>
      </c>
      <c r="H27" s="138"/>
    </row>
    <row r="28" spans="2:18" ht="14" thickBot="1" x14ac:dyDescent="0.2">
      <c r="B28" s="168" t="s">
        <v>123</v>
      </c>
      <c r="C28" s="171">
        <v>2</v>
      </c>
      <c r="D28" s="171">
        <v>1</v>
      </c>
      <c r="E28" s="171">
        <v>2</v>
      </c>
      <c r="F28" s="171">
        <v>1</v>
      </c>
      <c r="G28" s="171">
        <v>2</v>
      </c>
      <c r="H28" s="138"/>
    </row>
    <row r="29" spans="2:18" ht="14" thickBot="1" x14ac:dyDescent="0.2">
      <c r="B29" s="173" t="s">
        <v>32</v>
      </c>
      <c r="C29" s="174">
        <f>SUM(C17:C28)</f>
        <v>60</v>
      </c>
      <c r="D29" s="174">
        <f>SUM(D17:D28)</f>
        <v>60</v>
      </c>
      <c r="E29" s="174">
        <f>SUM(E17:E28)</f>
        <v>60</v>
      </c>
      <c r="F29" s="174">
        <f>SUM(F17:F28)</f>
        <v>60</v>
      </c>
      <c r="G29" s="175">
        <f>SUM(G17:G28)</f>
        <v>60</v>
      </c>
      <c r="H29" s="138"/>
    </row>
    <row r="30" spans="2:18" ht="14" thickBot="1" x14ac:dyDescent="0.2">
      <c r="I30" s="176" t="s">
        <v>107</v>
      </c>
      <c r="J30" s="177"/>
      <c r="K30" s="177"/>
      <c r="L30" s="177"/>
      <c r="M30" s="177"/>
      <c r="N30" s="177"/>
      <c r="O30" s="177"/>
      <c r="P30" s="177"/>
      <c r="Q30" s="177"/>
      <c r="R30" s="178"/>
    </row>
    <row r="31" spans="2:18" ht="14" thickBot="1" x14ac:dyDescent="0.2">
      <c r="B31" s="154" t="s">
        <v>108</v>
      </c>
      <c r="C31" s="155"/>
      <c r="D31" s="155"/>
      <c r="E31" s="155"/>
      <c r="F31" s="155"/>
      <c r="G31" s="155"/>
      <c r="I31" s="179"/>
      <c r="J31" s="180" t="s">
        <v>109</v>
      </c>
      <c r="K31" s="181"/>
      <c r="L31" s="181"/>
      <c r="M31" s="182"/>
      <c r="N31" s="180" t="s">
        <v>110</v>
      </c>
      <c r="O31" s="181"/>
      <c r="P31" s="181"/>
      <c r="Q31" s="180" t="s">
        <v>111</v>
      </c>
      <c r="R31" s="183"/>
    </row>
    <row r="32" spans="2:18" ht="14" thickBot="1" x14ac:dyDescent="0.2">
      <c r="B32" s="184" t="s">
        <v>7</v>
      </c>
      <c r="C32" s="185" t="s">
        <v>77</v>
      </c>
      <c r="D32" s="185" t="s">
        <v>78</v>
      </c>
      <c r="E32" s="185" t="s">
        <v>79</v>
      </c>
      <c r="F32" s="185"/>
      <c r="G32" s="186"/>
      <c r="I32" s="187" t="s">
        <v>7</v>
      </c>
      <c r="J32" s="188" t="s">
        <v>112</v>
      </c>
      <c r="K32" s="188" t="s">
        <v>113</v>
      </c>
      <c r="L32" s="188" t="s">
        <v>114</v>
      </c>
      <c r="M32" s="189" t="s">
        <v>115</v>
      </c>
      <c r="N32" s="188" t="s">
        <v>113</v>
      </c>
      <c r="O32" s="188" t="s">
        <v>114</v>
      </c>
      <c r="P32" s="189" t="s">
        <v>115</v>
      </c>
      <c r="Q32" s="188" t="s">
        <v>114</v>
      </c>
      <c r="R32" s="190" t="s">
        <v>115</v>
      </c>
    </row>
    <row r="33" spans="2:19" x14ac:dyDescent="0.15">
      <c r="B33" s="191" t="str" cm="1">
        <f t="array" ref="B33:B43">_xlfn.ANCHORARRAY(B17)</f>
        <v>Wild</v>
      </c>
      <c r="C33" s="192">
        <f>C17*D17*E17*F17*G17</f>
        <v>0</v>
      </c>
      <c r="D33" s="192">
        <f>C17*D17*E17*F17*(
+IF(D$3&gt;C$4,G18,IF(D$3&gt;D$4,G18,0))
+IF(D$3&gt;C$5,G19,IF(D$3&gt;D$5,G19,0))
+IF(D$3&gt;C$6,G20,IF(D$3&gt;D$6,G20,0))
+IF(D$3&gt;C$7,G21,IF(D$3&gt;D$7,G21,0))
+IF(D$3&gt;C$8,G22,IF(D$3&gt;D$8,G22,0))
+IF(D$3&gt;C$9,G23,IF(D$3&gt;D$9,G23,0))
+IF(D$3&gt;C$10,G24,IF(D$3&gt;D$10,G24,0))
+IF(D$3&gt;C$11,G25,IF(D$3&gt;D$11,G25,0))
+IF(D$3&gt;C$13,G28,IF(D$3&gt;D$13,G28,0)))</f>
        <v>0</v>
      </c>
      <c r="E33" s="192">
        <f>C17*D17*E17*(
+IF(E$3&gt;D$4,F18,0)
+IF(E$3&gt;D$5,F19,0)
+IF(E$3&gt;D$6,F20,0)
+IF(E$3&gt;D$7,F21,0)
+IF(E$3&gt;D$8,F22,0)
+IF(E$3&gt;D$9,F23,0)
+IF(E$3&gt;D$10,F24,0)
+IF(E$3&gt;D$11,F25,0)
)*(
+IF(E$3&gt;C$4,G18,0)
+IF(E$3&gt;C$5,G19,0)
+IF(E$3&gt;C$6,G20,0)
+IF(E$3&gt;C$7,G21,0)
+IF(E$3&gt;C$8,G22,0)
+IF(E$3&gt;C$9,G23,0)
+IF(E$3&gt;C$10,G24,0)
+IF(E$3&gt;C$11,G25,0)
+G17+G28)</f>
        <v>0</v>
      </c>
      <c r="F33" s="192"/>
      <c r="G33" s="193"/>
      <c r="I33" s="194" t="str" cm="1">
        <f t="array" ref="I33:I41">B17:B25</f>
        <v>Wild</v>
      </c>
      <c r="J33" s="192"/>
      <c r="K33" s="192"/>
      <c r="L33" s="196"/>
      <c r="M33" s="197"/>
      <c r="N33" s="192"/>
      <c r="O33" s="196"/>
      <c r="P33" s="197"/>
      <c r="Q33" s="196"/>
      <c r="R33" s="197"/>
    </row>
    <row r="34" spans="2:19" x14ac:dyDescent="0.15">
      <c r="B34" s="166" t="str">
        <v>T1</v>
      </c>
      <c r="C34" s="169">
        <f t="shared" ref="C34:C43" si="1">((C18+C$17)*(D18+D$17)*(E18+E$17)*(F18+F$17)*(G18+G$17)-C$17*D$17*E$17*IF($E$3&gt;$C4,(F18+F$17)*(G18+G$17),IF($D$3&gt;$C4,F$17*(G18+G$17),F$17*G$17)))</f>
        <v>3125</v>
      </c>
      <c r="D34" s="169">
        <f t="shared" ref="D34:D43" si="2">((C18+C$17)*(D18+D$17)*(E18+E$17)*(F18+F$17)-C$17*D$17*IF($E$3&gt;$D4,E$17*(F18+F$17),E$17*F$17))*(G$29-G18-G$17)</f>
        <v>34375</v>
      </c>
      <c r="E34" s="169">
        <f t="shared" ref="E34:E43" si="3">((C18+C$17)*(D18+D$17)*(E18+E$17)*(F$29-F18-F$17)*G$29)-$C$17*$D$17*$E$17*($F$29-$F$17-F18)*$G$29</f>
        <v>412500</v>
      </c>
      <c r="F34" s="169"/>
      <c r="G34" s="170"/>
      <c r="I34" s="194" t="str">
        <v>T1</v>
      </c>
      <c r="J34" s="169">
        <f t="shared" ref="J34:J41" si="4">IF($C$3&gt;C4,$C$17*$D$17*$E$17*$F$17*$G$17,0)</f>
        <v>0</v>
      </c>
      <c r="K34" s="169">
        <f t="shared" ref="K34:K41" si="5">IF($D$3&gt;C4,$C$17*$D$17*$E$17*$F$17*G18,0)</f>
        <v>0</v>
      </c>
      <c r="L34" s="198">
        <f t="shared" ref="L34:L41" si="6">IF($E$3&gt;C4,$C$17*$D$17*$E$17*F18*($G$17+G18),0)</f>
        <v>0</v>
      </c>
      <c r="M34" s="199">
        <f t="shared" ref="M34:M41" si="7">SUM(J34:L34)</f>
        <v>0</v>
      </c>
      <c r="N34" s="169">
        <f t="shared" ref="N34:N41" si="8">IF($D$3&gt;D4,$C$17*$D$17*$E$17*$F$17*($G$29-$G$17-G18),0)</f>
        <v>0</v>
      </c>
      <c r="O34" s="198">
        <f t="shared" ref="O34:O41" si="9">IF($E$3&gt;D4,$C$17*$D$17*$E$17*F18*($G$29-$G$17-G18),0)</f>
        <v>0</v>
      </c>
      <c r="P34" s="199">
        <f t="shared" ref="P34:P41" si="10">SUM(N34:O34)</f>
        <v>0</v>
      </c>
      <c r="Q34" s="198">
        <f t="shared" ref="Q34:Q41" si="11">IF($E$3&gt;E4,$C$17*$D$17*$E$17*($F$29-$F$17-F18)*$G$29,0)</f>
        <v>0</v>
      </c>
      <c r="R34" s="199">
        <f t="shared" ref="R34:R41" si="12">SUM(Q34)</f>
        <v>0</v>
      </c>
    </row>
    <row r="35" spans="2:19" x14ac:dyDescent="0.15">
      <c r="B35" s="166" t="str">
        <v>T2</v>
      </c>
      <c r="C35" s="169">
        <f t="shared" si="1"/>
        <v>7776</v>
      </c>
      <c r="D35" s="169">
        <f t="shared" si="2"/>
        <v>69984</v>
      </c>
      <c r="E35" s="169">
        <f t="shared" si="3"/>
        <v>699840</v>
      </c>
      <c r="F35" s="169"/>
      <c r="G35" s="170"/>
      <c r="I35" s="194" t="str">
        <v>T2</v>
      </c>
      <c r="J35" s="169">
        <f t="shared" si="4"/>
        <v>0</v>
      </c>
      <c r="K35" s="169">
        <f t="shared" si="5"/>
        <v>0</v>
      </c>
      <c r="L35" s="198">
        <f t="shared" si="6"/>
        <v>0</v>
      </c>
      <c r="M35" s="199">
        <f t="shared" si="7"/>
        <v>0</v>
      </c>
      <c r="N35" s="169">
        <f t="shared" si="8"/>
        <v>0</v>
      </c>
      <c r="O35" s="198">
        <f t="shared" si="9"/>
        <v>0</v>
      </c>
      <c r="P35" s="199">
        <f t="shared" si="10"/>
        <v>0</v>
      </c>
      <c r="Q35" s="198">
        <f t="shared" si="11"/>
        <v>0</v>
      </c>
      <c r="R35" s="199">
        <f t="shared" si="12"/>
        <v>0</v>
      </c>
    </row>
    <row r="36" spans="2:19" x14ac:dyDescent="0.15">
      <c r="B36" s="166" t="str">
        <v>T3</v>
      </c>
      <c r="C36" s="169">
        <f t="shared" si="1"/>
        <v>7776</v>
      </c>
      <c r="D36" s="169">
        <f t="shared" si="2"/>
        <v>69984</v>
      </c>
      <c r="E36" s="169">
        <f t="shared" si="3"/>
        <v>699840</v>
      </c>
      <c r="F36" s="169"/>
      <c r="G36" s="170"/>
      <c r="I36" s="194" t="str">
        <v>T3</v>
      </c>
      <c r="J36" s="169">
        <f t="shared" si="4"/>
        <v>0</v>
      </c>
      <c r="K36" s="169">
        <f t="shared" si="5"/>
        <v>0</v>
      </c>
      <c r="L36" s="198">
        <f t="shared" si="6"/>
        <v>0</v>
      </c>
      <c r="M36" s="199">
        <f t="shared" si="7"/>
        <v>0</v>
      </c>
      <c r="N36" s="169">
        <f t="shared" si="8"/>
        <v>0</v>
      </c>
      <c r="O36" s="198">
        <f t="shared" si="9"/>
        <v>0</v>
      </c>
      <c r="P36" s="199">
        <f t="shared" si="10"/>
        <v>0</v>
      </c>
      <c r="Q36" s="198">
        <f t="shared" si="11"/>
        <v>0</v>
      </c>
      <c r="R36" s="199">
        <f t="shared" si="12"/>
        <v>0</v>
      </c>
    </row>
    <row r="37" spans="2:19" x14ac:dyDescent="0.15">
      <c r="B37" s="166" t="str">
        <v>T4</v>
      </c>
      <c r="C37" s="169">
        <f t="shared" si="1"/>
        <v>7776</v>
      </c>
      <c r="D37" s="169">
        <f t="shared" si="2"/>
        <v>69984</v>
      </c>
      <c r="E37" s="169">
        <f t="shared" si="3"/>
        <v>699840</v>
      </c>
      <c r="F37" s="169"/>
      <c r="G37" s="170"/>
      <c r="I37" s="194" t="str">
        <v>T4</v>
      </c>
      <c r="J37" s="169">
        <f t="shared" si="4"/>
        <v>0</v>
      </c>
      <c r="K37" s="169">
        <f t="shared" si="5"/>
        <v>0</v>
      </c>
      <c r="L37" s="198">
        <f t="shared" si="6"/>
        <v>0</v>
      </c>
      <c r="M37" s="199">
        <f t="shared" si="7"/>
        <v>0</v>
      </c>
      <c r="N37" s="169">
        <f t="shared" si="8"/>
        <v>0</v>
      </c>
      <c r="O37" s="198">
        <f t="shared" si="9"/>
        <v>0</v>
      </c>
      <c r="P37" s="199">
        <f t="shared" si="10"/>
        <v>0</v>
      </c>
      <c r="Q37" s="198">
        <f t="shared" si="11"/>
        <v>0</v>
      </c>
      <c r="R37" s="199">
        <f t="shared" si="12"/>
        <v>0</v>
      </c>
    </row>
    <row r="38" spans="2:19" x14ac:dyDescent="0.15">
      <c r="B38" s="166" t="str">
        <v>T5</v>
      </c>
      <c r="C38" s="169">
        <f t="shared" si="1"/>
        <v>7776</v>
      </c>
      <c r="D38" s="169">
        <f t="shared" si="2"/>
        <v>69984</v>
      </c>
      <c r="E38" s="169">
        <f t="shared" si="3"/>
        <v>699840</v>
      </c>
      <c r="F38" s="169"/>
      <c r="G38" s="170"/>
      <c r="I38" s="194" t="str">
        <v>T5</v>
      </c>
      <c r="J38" s="169">
        <f t="shared" si="4"/>
        <v>0</v>
      </c>
      <c r="K38" s="169">
        <f t="shared" si="5"/>
        <v>0</v>
      </c>
      <c r="L38" s="198">
        <f t="shared" si="6"/>
        <v>0</v>
      </c>
      <c r="M38" s="199">
        <f t="shared" si="7"/>
        <v>0</v>
      </c>
      <c r="N38" s="169">
        <f t="shared" si="8"/>
        <v>0</v>
      </c>
      <c r="O38" s="198">
        <f t="shared" si="9"/>
        <v>0</v>
      </c>
      <c r="P38" s="199">
        <f t="shared" si="10"/>
        <v>0</v>
      </c>
      <c r="Q38" s="198">
        <f t="shared" si="11"/>
        <v>0</v>
      </c>
      <c r="R38" s="199">
        <f t="shared" si="12"/>
        <v>0</v>
      </c>
      <c r="S38" s="138"/>
    </row>
    <row r="39" spans="2:19" x14ac:dyDescent="0.15">
      <c r="B39" s="166" t="str">
        <v>L1</v>
      </c>
      <c r="C39" s="169">
        <f t="shared" si="1"/>
        <v>4500</v>
      </c>
      <c r="D39" s="169">
        <f t="shared" si="2"/>
        <v>49500</v>
      </c>
      <c r="E39" s="169">
        <f t="shared" si="3"/>
        <v>486000</v>
      </c>
      <c r="F39" s="169"/>
      <c r="G39" s="170"/>
      <c r="I39" s="194" t="str">
        <v>L1</v>
      </c>
      <c r="J39" s="169">
        <f t="shared" si="4"/>
        <v>0</v>
      </c>
      <c r="K39" s="169">
        <f t="shared" si="5"/>
        <v>0</v>
      </c>
      <c r="L39" s="198">
        <f t="shared" si="6"/>
        <v>0</v>
      </c>
      <c r="M39" s="199">
        <f t="shared" si="7"/>
        <v>0</v>
      </c>
      <c r="N39" s="169">
        <f t="shared" si="8"/>
        <v>0</v>
      </c>
      <c r="O39" s="198">
        <f t="shared" si="9"/>
        <v>0</v>
      </c>
      <c r="P39" s="199">
        <f t="shared" si="10"/>
        <v>0</v>
      </c>
      <c r="Q39" s="198">
        <f t="shared" si="11"/>
        <v>0</v>
      </c>
      <c r="R39" s="199">
        <f t="shared" si="12"/>
        <v>0</v>
      </c>
      <c r="S39" s="138"/>
    </row>
    <row r="40" spans="2:19" x14ac:dyDescent="0.15">
      <c r="B40" s="166" t="str">
        <v>L2</v>
      </c>
      <c r="C40" s="169">
        <f t="shared" si="1"/>
        <v>7776</v>
      </c>
      <c r="D40" s="169">
        <f t="shared" si="2"/>
        <v>69984</v>
      </c>
      <c r="E40" s="169">
        <f t="shared" si="3"/>
        <v>699840</v>
      </c>
      <c r="F40" s="169"/>
      <c r="G40" s="170"/>
      <c r="I40" s="194" t="str">
        <v>L2</v>
      </c>
      <c r="J40" s="169">
        <f t="shared" si="4"/>
        <v>0</v>
      </c>
      <c r="K40" s="169">
        <f t="shared" si="5"/>
        <v>0</v>
      </c>
      <c r="L40" s="198">
        <f t="shared" si="6"/>
        <v>0</v>
      </c>
      <c r="M40" s="199">
        <f t="shared" si="7"/>
        <v>0</v>
      </c>
      <c r="N40" s="169">
        <f t="shared" si="8"/>
        <v>0</v>
      </c>
      <c r="O40" s="198">
        <f t="shared" si="9"/>
        <v>0</v>
      </c>
      <c r="P40" s="199">
        <f t="shared" si="10"/>
        <v>0</v>
      </c>
      <c r="Q40" s="198">
        <f t="shared" si="11"/>
        <v>0</v>
      </c>
      <c r="R40" s="199">
        <f t="shared" si="12"/>
        <v>0</v>
      </c>
      <c r="S40" s="138"/>
    </row>
    <row r="41" spans="2:19" ht="14" thickBot="1" x14ac:dyDescent="0.2">
      <c r="B41" s="166" t="str">
        <v>L3</v>
      </c>
      <c r="C41" s="169">
        <f t="shared" si="1"/>
        <v>7776</v>
      </c>
      <c r="D41" s="169">
        <f t="shared" si="2"/>
        <v>69984</v>
      </c>
      <c r="E41" s="169">
        <f t="shared" si="3"/>
        <v>699840</v>
      </c>
      <c r="F41" s="169"/>
      <c r="G41" s="170"/>
      <c r="I41" s="195" t="str">
        <v>L3</v>
      </c>
      <c r="J41" s="200">
        <f t="shared" si="4"/>
        <v>0</v>
      </c>
      <c r="K41" s="200">
        <f t="shared" si="5"/>
        <v>0</v>
      </c>
      <c r="L41" s="201">
        <f t="shared" si="6"/>
        <v>0</v>
      </c>
      <c r="M41" s="202">
        <f t="shared" si="7"/>
        <v>0</v>
      </c>
      <c r="N41" s="200">
        <f t="shared" si="8"/>
        <v>0</v>
      </c>
      <c r="O41" s="201">
        <f t="shared" si="9"/>
        <v>0</v>
      </c>
      <c r="P41" s="202">
        <f t="shared" si="10"/>
        <v>0</v>
      </c>
      <c r="Q41" s="201">
        <f t="shared" si="11"/>
        <v>0</v>
      </c>
      <c r="R41" s="202">
        <f t="shared" si="12"/>
        <v>0</v>
      </c>
    </row>
    <row r="42" spans="2:19" x14ac:dyDescent="0.15">
      <c r="B42" s="167" t="str">
        <v>L4</v>
      </c>
      <c r="C42" s="169">
        <f t="shared" si="1"/>
        <v>7776</v>
      </c>
      <c r="D42" s="169">
        <f t="shared" si="2"/>
        <v>69984</v>
      </c>
      <c r="E42" s="169">
        <f t="shared" si="3"/>
        <v>699840</v>
      </c>
      <c r="F42" s="203"/>
      <c r="G42" s="204"/>
      <c r="I42" s="205"/>
      <c r="J42" s="138"/>
      <c r="K42" s="138"/>
      <c r="L42" s="138"/>
      <c r="M42" s="138"/>
      <c r="N42" s="138"/>
      <c r="O42" s="138"/>
      <c r="P42" s="138"/>
      <c r="Q42" s="138"/>
      <c r="R42" s="138"/>
    </row>
    <row r="43" spans="2:19" x14ac:dyDescent="0.15">
      <c r="B43" s="167" t="str">
        <v>L5</v>
      </c>
      <c r="C43" s="169">
        <f t="shared" si="1"/>
        <v>7776</v>
      </c>
      <c r="D43" s="169">
        <f t="shared" si="2"/>
        <v>69984</v>
      </c>
      <c r="E43" s="169">
        <f t="shared" si="3"/>
        <v>699840</v>
      </c>
      <c r="F43" s="203"/>
      <c r="G43" s="204"/>
      <c r="I43" s="205"/>
      <c r="J43" s="138"/>
      <c r="K43" s="138"/>
      <c r="L43" s="138"/>
      <c r="M43" s="138"/>
      <c r="N43" s="138"/>
      <c r="O43" s="138"/>
      <c r="P43" s="138"/>
      <c r="Q43" s="138"/>
      <c r="R43" s="138"/>
    </row>
    <row r="44" spans="2:19" ht="14" thickBot="1" x14ac:dyDescent="0.2">
      <c r="B44" s="168"/>
      <c r="C44" s="171">
        <v>0</v>
      </c>
      <c r="D44" s="171">
        <v>0</v>
      </c>
      <c r="E44" s="171">
        <v>0</v>
      </c>
      <c r="F44" s="171"/>
      <c r="G44" s="172"/>
    </row>
    <row r="45" spans="2:19" x14ac:dyDescent="0.15">
      <c r="B45" s="206"/>
      <c r="C45" s="138"/>
      <c r="D45" s="138"/>
      <c r="E45" s="138"/>
      <c r="F45" s="138"/>
      <c r="G45" s="138"/>
    </row>
    <row r="47" spans="2:19" ht="14" thickBot="1" x14ac:dyDescent="0.2"/>
    <row r="48" spans="2:19" ht="14" thickBot="1" x14ac:dyDescent="0.2">
      <c r="B48" s="154" t="s">
        <v>116</v>
      </c>
      <c r="C48" s="155"/>
      <c r="D48" s="155"/>
      <c r="E48" s="155"/>
      <c r="F48" s="155"/>
      <c r="G48" s="155"/>
      <c r="I48" s="154" t="s">
        <v>117</v>
      </c>
      <c r="J48" s="155"/>
      <c r="K48" s="155"/>
      <c r="L48" s="155"/>
      <c r="M48" s="155"/>
      <c r="N48" s="155"/>
    </row>
    <row r="49" spans="2:14" ht="14" thickBot="1" x14ac:dyDescent="0.2">
      <c r="B49" s="184" t="s">
        <v>7</v>
      </c>
      <c r="C49" s="185" t="s">
        <v>77</v>
      </c>
      <c r="D49" s="185" t="s">
        <v>78</v>
      </c>
      <c r="E49" s="185" t="s">
        <v>79</v>
      </c>
      <c r="F49" s="185"/>
      <c r="G49" s="186"/>
      <c r="I49" s="184" t="s">
        <v>7</v>
      </c>
      <c r="J49" s="185" t="s">
        <v>77</v>
      </c>
      <c r="K49" s="185" t="s">
        <v>78</v>
      </c>
      <c r="L49" s="185" t="s">
        <v>79</v>
      </c>
      <c r="M49" s="185"/>
      <c r="N49" s="186"/>
    </row>
    <row r="50" spans="2:14" x14ac:dyDescent="0.15">
      <c r="B50" s="191" t="str" cm="1">
        <f t="array" ref="B50:B60">_xlfn.ANCHORARRAY(B17)</f>
        <v>Wild</v>
      </c>
      <c r="C50" s="192">
        <f t="shared" ref="C50:C60" si="13">C33*C3*$J$8</f>
        <v>0</v>
      </c>
      <c r="D50" s="192">
        <f t="shared" ref="D50:E50" si="14">D33*D3*$J$8</f>
        <v>0</v>
      </c>
      <c r="E50" s="192">
        <f t="shared" si="14"/>
        <v>0</v>
      </c>
      <c r="F50" s="192"/>
      <c r="G50" s="193"/>
      <c r="I50" s="191" t="str" cm="1">
        <f t="array" ref="I50:I60">_xlfn.ANCHORARRAY(B17)</f>
        <v>Wild</v>
      </c>
      <c r="J50" s="192">
        <f>C50</f>
        <v>0</v>
      </c>
      <c r="K50" s="192">
        <f t="shared" ref="K50:L50" si="15">D50</f>
        <v>0</v>
      </c>
      <c r="L50" s="192">
        <f t="shared" si="15"/>
        <v>0</v>
      </c>
      <c r="M50" s="192"/>
      <c r="N50" s="193"/>
    </row>
    <row r="51" spans="2:14" x14ac:dyDescent="0.15">
      <c r="B51" s="166" t="str">
        <v>T1</v>
      </c>
      <c r="C51" s="192">
        <f t="shared" si="13"/>
        <v>937500</v>
      </c>
      <c r="D51" s="192">
        <f t="shared" ref="D51:E60" si="16">D34*D4*$J$8</f>
        <v>5156250</v>
      </c>
      <c r="E51" s="192">
        <f t="shared" si="16"/>
        <v>30937500</v>
      </c>
      <c r="F51" s="169"/>
      <c r="G51" s="170"/>
      <c r="I51" s="166" t="str">
        <v>T1</v>
      </c>
      <c r="J51" s="192">
        <f>C51*$M$3*(1+$M$4*$N$4)*(1+$M$5*$N$5)</f>
        <v>3867187.5</v>
      </c>
      <c r="K51" s="192">
        <f t="shared" ref="K51:L52" si="17">D51*$M$3*(1+$M$4*$N$4)*(1+$M$5*$N$5)</f>
        <v>21269531.25</v>
      </c>
      <c r="L51" s="192">
        <f t="shared" si="17"/>
        <v>127617187.5</v>
      </c>
      <c r="M51" s="169"/>
      <c r="N51" s="170"/>
    </row>
    <row r="52" spans="2:14" x14ac:dyDescent="0.15">
      <c r="B52" s="166" t="str">
        <v>T2</v>
      </c>
      <c r="C52" s="192">
        <f t="shared" si="13"/>
        <v>583200</v>
      </c>
      <c r="D52" s="192">
        <f t="shared" si="16"/>
        <v>3149280</v>
      </c>
      <c r="E52" s="192">
        <f t="shared" si="16"/>
        <v>20995200</v>
      </c>
      <c r="F52" s="169"/>
      <c r="G52" s="170"/>
      <c r="I52" s="166" t="str">
        <v>T2</v>
      </c>
      <c r="J52" s="192">
        <f>C52*$M$3*(1+$M$4*$N$4)*(1+$M$5*$N$5)</f>
        <v>2405700</v>
      </c>
      <c r="K52" s="192">
        <f t="shared" si="17"/>
        <v>12990780</v>
      </c>
      <c r="L52" s="192">
        <f t="shared" si="17"/>
        <v>86605200</v>
      </c>
      <c r="M52" s="169"/>
      <c r="N52" s="170"/>
    </row>
    <row r="53" spans="2:14" x14ac:dyDescent="0.15">
      <c r="B53" s="166" t="str">
        <v>T3</v>
      </c>
      <c r="C53" s="192">
        <f t="shared" si="13"/>
        <v>349920</v>
      </c>
      <c r="D53" s="192">
        <f t="shared" si="16"/>
        <v>2099520</v>
      </c>
      <c r="E53" s="192">
        <f t="shared" si="16"/>
        <v>10497600</v>
      </c>
      <c r="F53" s="169"/>
      <c r="G53" s="170"/>
      <c r="I53" s="166" t="str">
        <v>T3</v>
      </c>
      <c r="J53" s="192">
        <f>C53*$M$4*(1+$M$3*$N$3)*(1+$M$5*$N$5)</f>
        <v>1574640</v>
      </c>
      <c r="K53" s="192">
        <f t="shared" ref="K53:L54" si="18">D53*$M$4*(1+$M$3*$N$3)*(1+$M$5*$N$5)</f>
        <v>9447840</v>
      </c>
      <c r="L53" s="192">
        <f t="shared" si="18"/>
        <v>47239200</v>
      </c>
      <c r="M53" s="169"/>
      <c r="N53" s="170"/>
    </row>
    <row r="54" spans="2:14" x14ac:dyDescent="0.15">
      <c r="B54" s="166" t="str">
        <v>T4</v>
      </c>
      <c r="C54" s="192">
        <f t="shared" si="13"/>
        <v>233280</v>
      </c>
      <c r="D54" s="192">
        <f t="shared" si="16"/>
        <v>1049760</v>
      </c>
      <c r="E54" s="192">
        <f t="shared" si="16"/>
        <v>5248800</v>
      </c>
      <c r="F54" s="169"/>
      <c r="G54" s="170"/>
      <c r="I54" s="166" t="str">
        <v>T4</v>
      </c>
      <c r="J54" s="192">
        <f>C54*$M$4*(1+$M$3*$N$3)*(1+$M$5*$N$5)</f>
        <v>1049760</v>
      </c>
      <c r="K54" s="192">
        <f t="shared" si="18"/>
        <v>4723920</v>
      </c>
      <c r="L54" s="192">
        <f t="shared" si="18"/>
        <v>23619600</v>
      </c>
      <c r="M54" s="169"/>
      <c r="N54" s="170"/>
    </row>
    <row r="55" spans="2:14" x14ac:dyDescent="0.15">
      <c r="B55" s="166" t="str">
        <v>T5</v>
      </c>
      <c r="C55" s="192">
        <f t="shared" si="13"/>
        <v>116640</v>
      </c>
      <c r="D55" s="192">
        <f t="shared" si="16"/>
        <v>524880</v>
      </c>
      <c r="E55" s="192">
        <f t="shared" si="16"/>
        <v>2099520</v>
      </c>
      <c r="F55" s="169"/>
      <c r="G55" s="170"/>
      <c r="I55" s="166" t="str">
        <v>T5</v>
      </c>
      <c r="J55" s="192">
        <f>C55*$M$5*(1+$M$3*$N$3)*(1+$M$4*$N$4)</f>
        <v>498636.00000000006</v>
      </c>
      <c r="K55" s="192">
        <f t="shared" ref="K55:L56" si="19">D55*$M$5*(1+$M$3*$N$3)*(1+$M$4*$N$4)</f>
        <v>2243862</v>
      </c>
      <c r="L55" s="192">
        <f t="shared" si="19"/>
        <v>8975448</v>
      </c>
      <c r="M55" s="169"/>
      <c r="N55" s="170"/>
    </row>
    <row r="56" spans="2:14" x14ac:dyDescent="0.15">
      <c r="B56" s="166" t="str">
        <v>L1</v>
      </c>
      <c r="C56" s="192">
        <f t="shared" si="13"/>
        <v>33750</v>
      </c>
      <c r="D56" s="192">
        <f t="shared" si="16"/>
        <v>148500</v>
      </c>
      <c r="E56" s="192">
        <f t="shared" si="16"/>
        <v>729000</v>
      </c>
      <c r="F56" s="169"/>
      <c r="G56" s="170"/>
      <c r="I56" s="166" t="str">
        <v>L1</v>
      </c>
      <c r="J56" s="192">
        <f>C56*$M$5*(1+$M$3*$N$3)*(1+$M$4*$N$4)</f>
        <v>144281.25</v>
      </c>
      <c r="K56" s="192">
        <f t="shared" si="19"/>
        <v>634837.5</v>
      </c>
      <c r="L56" s="192">
        <f t="shared" si="19"/>
        <v>3116475.0000000005</v>
      </c>
      <c r="M56" s="169"/>
      <c r="N56" s="170"/>
    </row>
    <row r="57" spans="2:14" x14ac:dyDescent="0.15">
      <c r="B57" s="166" t="str">
        <v>L2</v>
      </c>
      <c r="C57" s="192">
        <f t="shared" si="13"/>
        <v>58320</v>
      </c>
      <c r="D57" s="192">
        <f t="shared" si="16"/>
        <v>209952.00000000003</v>
      </c>
      <c r="E57" s="192">
        <f t="shared" si="16"/>
        <v>1049760</v>
      </c>
      <c r="F57" s="169"/>
      <c r="G57" s="170"/>
      <c r="I57" s="166" t="str">
        <v>L2</v>
      </c>
      <c r="J57" s="192">
        <f t="shared" ref="J57:L59" si="20">C57</f>
        <v>58320</v>
      </c>
      <c r="K57" s="192">
        <f t="shared" si="20"/>
        <v>209952.00000000003</v>
      </c>
      <c r="L57" s="192">
        <f t="shared" si="20"/>
        <v>1049760</v>
      </c>
      <c r="M57" s="169"/>
      <c r="N57" s="170"/>
    </row>
    <row r="58" spans="2:14" x14ac:dyDescent="0.15">
      <c r="B58" s="166" t="str">
        <v>L3</v>
      </c>
      <c r="C58" s="192">
        <f t="shared" si="13"/>
        <v>58320</v>
      </c>
      <c r="D58" s="192">
        <f t="shared" si="16"/>
        <v>209952.00000000003</v>
      </c>
      <c r="E58" s="192">
        <f t="shared" si="16"/>
        <v>1049760</v>
      </c>
      <c r="F58" s="169"/>
      <c r="G58" s="170"/>
      <c r="I58" s="166" t="str">
        <v>L3</v>
      </c>
      <c r="J58" s="192">
        <f t="shared" si="20"/>
        <v>58320</v>
      </c>
      <c r="K58" s="192">
        <f t="shared" si="20"/>
        <v>209952.00000000003</v>
      </c>
      <c r="L58" s="192">
        <f t="shared" si="20"/>
        <v>1049760</v>
      </c>
      <c r="M58" s="169"/>
      <c r="N58" s="170"/>
    </row>
    <row r="59" spans="2:14" x14ac:dyDescent="0.15">
      <c r="B59" s="167" t="str">
        <v>L4</v>
      </c>
      <c r="C59" s="192">
        <f t="shared" si="13"/>
        <v>58320</v>
      </c>
      <c r="D59" s="192">
        <f t="shared" si="16"/>
        <v>209952.00000000003</v>
      </c>
      <c r="E59" s="192">
        <f t="shared" si="16"/>
        <v>1049760</v>
      </c>
      <c r="F59" s="203"/>
      <c r="G59" s="204"/>
      <c r="I59" s="167" t="str">
        <v>L4</v>
      </c>
      <c r="J59" s="192">
        <f t="shared" si="20"/>
        <v>58320</v>
      </c>
      <c r="K59" s="192">
        <f t="shared" si="20"/>
        <v>209952.00000000003</v>
      </c>
      <c r="L59" s="192">
        <f t="shared" si="20"/>
        <v>1049760</v>
      </c>
      <c r="M59" s="203"/>
      <c r="N59" s="207">
        <f>SUM(J50:L61)/PRODUCT(C29:G29)</f>
        <v>0.46550692129629628</v>
      </c>
    </row>
    <row r="60" spans="2:14" x14ac:dyDescent="0.15">
      <c r="B60" s="167" t="str">
        <v>L5</v>
      </c>
      <c r="C60" s="192">
        <f t="shared" si="13"/>
        <v>58320</v>
      </c>
      <c r="D60" s="192">
        <f t="shared" si="16"/>
        <v>209952.00000000003</v>
      </c>
      <c r="E60" s="192">
        <f t="shared" si="16"/>
        <v>1049760</v>
      </c>
      <c r="F60" s="203"/>
      <c r="G60" s="204"/>
      <c r="I60" s="167" t="str">
        <v>L5</v>
      </c>
      <c r="J60" s="215"/>
      <c r="K60" s="215"/>
      <c r="L60" s="215"/>
      <c r="M60" s="203"/>
      <c r="N60" s="207"/>
    </row>
    <row r="61" spans="2:14" ht="14" thickBot="1" x14ac:dyDescent="0.2">
      <c r="B61" s="168"/>
      <c r="C61" s="171">
        <v>0</v>
      </c>
      <c r="D61" s="171">
        <v>0</v>
      </c>
      <c r="E61" s="171">
        <v>0</v>
      </c>
      <c r="F61" s="171"/>
      <c r="G61" s="172"/>
      <c r="I61" s="168"/>
      <c r="J61" s="171">
        <v>0</v>
      </c>
      <c r="K61" s="171">
        <v>0</v>
      </c>
      <c r="L61" s="171">
        <v>0</v>
      </c>
      <c r="M61" s="171"/>
      <c r="N61" s="172"/>
    </row>
    <row r="62" spans="2:14" ht="14" thickBot="1" x14ac:dyDescent="0.2"/>
    <row r="63" spans="2:14" ht="14" thickBot="1" x14ac:dyDescent="0.2">
      <c r="B63" s="154" t="s">
        <v>124</v>
      </c>
      <c r="C63" s="155"/>
      <c r="D63" s="155"/>
      <c r="E63" s="155"/>
      <c r="F63" s="155"/>
      <c r="G63" s="155"/>
      <c r="I63" s="131"/>
      <c r="L63" s="132"/>
    </row>
    <row r="64" spans="2:14" ht="16" thickBot="1" x14ac:dyDescent="0.25">
      <c r="B64" s="184" t="s">
        <v>7</v>
      </c>
      <c r="C64" s="185" t="s">
        <v>77</v>
      </c>
      <c r="D64" s="185" t="s">
        <v>78</v>
      </c>
      <c r="E64" s="185" t="s">
        <v>79</v>
      </c>
      <c r="F64" s="185"/>
      <c r="G64" s="186"/>
      <c r="I64" s="138"/>
      <c r="L64" s="208"/>
    </row>
    <row r="65" spans="2:20" ht="15" x14ac:dyDescent="0.2">
      <c r="B65" s="191" t="str" cm="1">
        <f t="array" ref="B65:B75">B3:B13</f>
        <v>Wild</v>
      </c>
      <c r="C65" s="192">
        <v>0</v>
      </c>
      <c r="D65" s="192">
        <v>0</v>
      </c>
      <c r="E65" s="192">
        <v>0</v>
      </c>
      <c r="F65" s="192"/>
      <c r="G65" s="193"/>
      <c r="J65" s="138"/>
      <c r="L65" s="209"/>
    </row>
    <row r="66" spans="2:20" ht="15" x14ac:dyDescent="0.2">
      <c r="B66" s="166" t="str">
        <v>T1</v>
      </c>
      <c r="C66" s="169">
        <f>C34*15</f>
        <v>46875</v>
      </c>
      <c r="D66" s="169">
        <f t="shared" ref="D66:E66" si="21">D34*15</f>
        <v>515625</v>
      </c>
      <c r="E66" s="169">
        <f t="shared" si="21"/>
        <v>6187500</v>
      </c>
      <c r="F66" s="169"/>
      <c r="G66" s="170"/>
      <c r="K66" s="138"/>
      <c r="L66" s="209"/>
    </row>
    <row r="67" spans="2:20" x14ac:dyDescent="0.15">
      <c r="B67" s="166" t="str">
        <v>T2</v>
      </c>
      <c r="C67" s="169">
        <f t="shared" ref="C67:E67" si="22">C35*15</f>
        <v>116640</v>
      </c>
      <c r="D67" s="169">
        <f t="shared" si="22"/>
        <v>1049760</v>
      </c>
      <c r="E67" s="169">
        <f t="shared" si="22"/>
        <v>10497600</v>
      </c>
      <c r="F67" s="169"/>
      <c r="G67" s="170"/>
    </row>
    <row r="68" spans="2:20" x14ac:dyDescent="0.15">
      <c r="B68" s="166" t="str">
        <v>T3</v>
      </c>
      <c r="C68" s="169">
        <f t="shared" ref="C68:E68" si="23">C36*15</f>
        <v>116640</v>
      </c>
      <c r="D68" s="169">
        <f t="shared" si="23"/>
        <v>1049760</v>
      </c>
      <c r="E68" s="169">
        <f t="shared" si="23"/>
        <v>10497600</v>
      </c>
      <c r="F68" s="169"/>
      <c r="G68" s="170"/>
    </row>
    <row r="69" spans="2:20" x14ac:dyDescent="0.15">
      <c r="B69" s="166" t="str">
        <v>T4</v>
      </c>
      <c r="C69" s="169">
        <f t="shared" ref="C69:E69" si="24">C37*15</f>
        <v>116640</v>
      </c>
      <c r="D69" s="169">
        <f t="shared" si="24"/>
        <v>1049760</v>
      </c>
      <c r="E69" s="169">
        <f t="shared" si="24"/>
        <v>10497600</v>
      </c>
      <c r="F69" s="169"/>
      <c r="G69" s="170"/>
    </row>
    <row r="70" spans="2:20" x14ac:dyDescent="0.15">
      <c r="B70" s="166" t="str">
        <v>T5</v>
      </c>
      <c r="C70" s="169">
        <f t="shared" ref="C70:E70" si="25">C38*15</f>
        <v>116640</v>
      </c>
      <c r="D70" s="169">
        <f t="shared" si="25"/>
        <v>1049760</v>
      </c>
      <c r="E70" s="169">
        <f t="shared" si="25"/>
        <v>10497600</v>
      </c>
      <c r="F70" s="169"/>
      <c r="G70" s="170"/>
    </row>
    <row r="71" spans="2:20" x14ac:dyDescent="0.15">
      <c r="B71" s="166" t="str">
        <v>L1</v>
      </c>
      <c r="C71" s="169">
        <f t="shared" ref="C71:E71" si="26">C39*15</f>
        <v>67500</v>
      </c>
      <c r="D71" s="169">
        <f t="shared" si="26"/>
        <v>742500</v>
      </c>
      <c r="E71" s="169">
        <f t="shared" si="26"/>
        <v>7290000</v>
      </c>
      <c r="F71" s="169"/>
      <c r="G71" s="170"/>
      <c r="H71" s="210"/>
      <c r="I71" s="210"/>
      <c r="J71" s="210"/>
      <c r="K71" s="210"/>
      <c r="L71" s="210"/>
      <c r="M71" s="210"/>
    </row>
    <row r="72" spans="2:20" x14ac:dyDescent="0.15">
      <c r="B72" s="166" t="str">
        <v>L2</v>
      </c>
      <c r="C72" s="169">
        <f t="shared" ref="C72:E72" si="27">C40*15</f>
        <v>116640</v>
      </c>
      <c r="D72" s="169">
        <f t="shared" si="27"/>
        <v>1049760</v>
      </c>
      <c r="E72" s="169">
        <f t="shared" si="27"/>
        <v>10497600</v>
      </c>
      <c r="F72" s="169"/>
      <c r="G72" s="170"/>
      <c r="H72" s="210"/>
      <c r="I72" s="210"/>
      <c r="J72" s="210"/>
      <c r="K72" s="210"/>
      <c r="L72" s="210"/>
      <c r="M72" s="210"/>
    </row>
    <row r="73" spans="2:20" x14ac:dyDescent="0.15">
      <c r="B73" s="166" t="str">
        <v>L3</v>
      </c>
      <c r="C73" s="169">
        <f t="shared" ref="C73:E73" si="28">C41*15</f>
        <v>116640</v>
      </c>
      <c r="D73" s="169">
        <f t="shared" si="28"/>
        <v>1049760</v>
      </c>
      <c r="E73" s="169">
        <f t="shared" si="28"/>
        <v>10497600</v>
      </c>
      <c r="F73" s="169"/>
      <c r="G73" s="170"/>
      <c r="H73" s="210"/>
      <c r="I73" s="210"/>
      <c r="J73" s="210"/>
      <c r="K73" s="210"/>
      <c r="L73" s="210"/>
      <c r="M73" s="210"/>
    </row>
    <row r="74" spans="2:20" x14ac:dyDescent="0.15">
      <c r="B74" s="167" t="str">
        <v>L4</v>
      </c>
      <c r="C74" s="169">
        <f t="shared" ref="C74:E74" si="29">C42*15</f>
        <v>116640</v>
      </c>
      <c r="D74" s="169">
        <f t="shared" si="29"/>
        <v>1049760</v>
      </c>
      <c r="E74" s="169">
        <f t="shared" si="29"/>
        <v>10497600</v>
      </c>
      <c r="F74" s="203"/>
      <c r="G74" s="204"/>
    </row>
    <row r="75" spans="2:20" x14ac:dyDescent="0.15">
      <c r="B75" s="167" t="str">
        <v>L5</v>
      </c>
      <c r="C75" s="169">
        <f t="shared" ref="C75:E75" si="30">C43*15</f>
        <v>116640</v>
      </c>
      <c r="D75" s="169">
        <f t="shared" si="30"/>
        <v>1049760</v>
      </c>
      <c r="E75" s="169">
        <f t="shared" si="30"/>
        <v>10497600</v>
      </c>
      <c r="F75" s="203"/>
      <c r="G75" s="204"/>
    </row>
    <row r="76" spans="2:20" ht="14" thickBot="1" x14ac:dyDescent="0.2">
      <c r="B76" s="168" t="s">
        <v>30</v>
      </c>
      <c r="C76" s="171">
        <v>0</v>
      </c>
      <c r="D76" s="171">
        <v>0</v>
      </c>
      <c r="E76" s="171">
        <v>0</v>
      </c>
      <c r="F76" s="171"/>
      <c r="G76" s="172"/>
    </row>
    <row r="77" spans="2:20" ht="14" customHeight="1" x14ac:dyDescent="0.15"/>
    <row r="78" spans="2:20" x14ac:dyDescent="0.15">
      <c r="N78" s="210"/>
      <c r="O78" s="210"/>
      <c r="P78" s="210"/>
      <c r="R78" s="211"/>
      <c r="S78" s="211"/>
      <c r="T78" s="211"/>
    </row>
    <row r="79" spans="2:20" x14ac:dyDescent="0.15">
      <c r="N79" s="210"/>
      <c r="O79" s="210"/>
      <c r="P79" s="210"/>
      <c r="R79" s="211"/>
      <c r="S79" s="211"/>
      <c r="T79" s="211"/>
    </row>
    <row r="80" spans="2:20" x14ac:dyDescent="0.15">
      <c r="N80" s="210"/>
      <c r="O80" s="210"/>
      <c r="P80" s="210"/>
      <c r="R80" s="211"/>
      <c r="S80" s="211"/>
      <c r="T80" s="211"/>
    </row>
    <row r="81" spans="3:20" x14ac:dyDescent="0.15">
      <c r="N81" s="210"/>
      <c r="O81" s="210"/>
      <c r="P81" s="210"/>
      <c r="R81" s="211"/>
      <c r="S81" s="211"/>
      <c r="T81" s="211"/>
    </row>
    <row r="82" spans="3:20" x14ac:dyDescent="0.15">
      <c r="N82" s="210"/>
      <c r="O82" s="210"/>
      <c r="P82" s="210"/>
      <c r="R82" s="211"/>
      <c r="S82" s="211"/>
      <c r="T82" s="211"/>
    </row>
    <row r="83" spans="3:20" x14ac:dyDescent="0.15">
      <c r="N83" s="210"/>
      <c r="O83" s="210"/>
      <c r="P83" s="210"/>
      <c r="R83" s="211"/>
      <c r="S83" s="211"/>
      <c r="T83" s="211"/>
    </row>
    <row r="84" spans="3:20" x14ac:dyDescent="0.15">
      <c r="N84" s="210"/>
      <c r="O84" s="210"/>
      <c r="P84" s="210"/>
      <c r="R84" s="211"/>
      <c r="S84" s="211"/>
      <c r="T84" s="211"/>
    </row>
    <row r="85" spans="3:20" x14ac:dyDescent="0.15">
      <c r="N85" s="210"/>
      <c r="O85" s="210"/>
      <c r="P85" s="210"/>
      <c r="R85" s="211"/>
      <c r="S85" s="211"/>
      <c r="T85" s="211"/>
    </row>
    <row r="86" spans="3:20" x14ac:dyDescent="0.15">
      <c r="N86" s="210"/>
      <c r="O86" s="210"/>
      <c r="P86" s="210"/>
      <c r="R86" s="211"/>
      <c r="S86" s="211"/>
      <c r="T86" s="211"/>
    </row>
    <row r="87" spans="3:20" x14ac:dyDescent="0.15">
      <c r="N87" s="210"/>
      <c r="O87" s="210"/>
      <c r="P87" s="210"/>
      <c r="R87" s="211"/>
      <c r="S87" s="211"/>
      <c r="T87" s="211"/>
    </row>
    <row r="92" spans="3:20" x14ac:dyDescent="0.15">
      <c r="C92" s="212"/>
      <c r="D92" s="212"/>
      <c r="E92" s="212"/>
    </row>
    <row r="93" spans="3:20" x14ac:dyDescent="0.15">
      <c r="C93" s="212"/>
      <c r="D93" s="212"/>
      <c r="E93" s="212"/>
      <c r="G93" s="213"/>
      <c r="H93" s="213"/>
      <c r="I93" s="213"/>
      <c r="O93" s="214"/>
      <c r="P93" s="214"/>
      <c r="Q93" s="214"/>
    </row>
    <row r="94" spans="3:20" x14ac:dyDescent="0.15">
      <c r="C94" s="212"/>
      <c r="D94" s="212"/>
      <c r="E94" s="212"/>
      <c r="G94" s="213"/>
      <c r="H94" s="213"/>
      <c r="I94" s="213"/>
      <c r="O94" s="214"/>
      <c r="P94" s="214"/>
      <c r="Q94" s="214"/>
    </row>
    <row r="95" spans="3:20" x14ac:dyDescent="0.15">
      <c r="C95" s="212"/>
      <c r="D95" s="212"/>
      <c r="E95" s="212"/>
      <c r="G95" s="213"/>
      <c r="H95" s="213"/>
      <c r="I95" s="213"/>
      <c r="O95" s="214"/>
      <c r="P95" s="214"/>
      <c r="Q95" s="214"/>
    </row>
    <row r="96" spans="3:20" x14ac:dyDescent="0.15">
      <c r="C96" s="212"/>
      <c r="D96" s="212"/>
      <c r="E96" s="212"/>
      <c r="G96" s="213"/>
      <c r="H96" s="213"/>
      <c r="I96" s="213"/>
      <c r="O96" s="214"/>
      <c r="P96" s="214"/>
      <c r="Q96" s="214"/>
    </row>
    <row r="97" spans="3:17" x14ac:dyDescent="0.15">
      <c r="C97" s="212"/>
      <c r="D97" s="212"/>
      <c r="E97" s="212"/>
      <c r="G97" s="213"/>
      <c r="H97" s="213"/>
      <c r="I97" s="213"/>
      <c r="O97" s="214"/>
      <c r="P97" s="214"/>
      <c r="Q97" s="214"/>
    </row>
    <row r="98" spans="3:17" x14ac:dyDescent="0.15">
      <c r="C98" s="212"/>
      <c r="D98" s="212"/>
      <c r="E98" s="212"/>
      <c r="G98" s="213"/>
      <c r="H98" s="213"/>
      <c r="I98" s="213"/>
      <c r="O98" s="214"/>
      <c r="P98" s="214"/>
      <c r="Q98" s="214"/>
    </row>
    <row r="99" spans="3:17" x14ac:dyDescent="0.15">
      <c r="C99" s="212"/>
      <c r="D99" s="212"/>
      <c r="E99" s="212"/>
      <c r="G99" s="213"/>
      <c r="H99" s="213"/>
      <c r="I99" s="213"/>
      <c r="O99" s="214"/>
      <c r="P99" s="214"/>
      <c r="Q99" s="214"/>
    </row>
    <row r="100" spans="3:17" x14ac:dyDescent="0.15">
      <c r="C100" s="212"/>
      <c r="D100" s="212"/>
      <c r="E100" s="212"/>
      <c r="G100" s="213"/>
      <c r="H100" s="213"/>
      <c r="I100" s="213"/>
      <c r="O100" s="214"/>
      <c r="P100" s="214"/>
      <c r="Q100" s="214"/>
    </row>
    <row r="101" spans="3:17" x14ac:dyDescent="0.15">
      <c r="C101" s="212"/>
      <c r="D101" s="212"/>
      <c r="E101" s="212"/>
      <c r="G101" s="213"/>
      <c r="H101" s="213"/>
      <c r="I101" s="213"/>
      <c r="O101" s="214"/>
      <c r="P101" s="214"/>
      <c r="Q101" s="214"/>
    </row>
    <row r="102" spans="3:17" x14ac:dyDescent="0.15">
      <c r="C102" s="212"/>
      <c r="D102" s="212"/>
      <c r="E102" s="212"/>
      <c r="G102" s="213"/>
      <c r="H102" s="213"/>
      <c r="I102" s="213"/>
    </row>
  </sheetData>
  <conditionalFormatting sqref="B16:B28">
    <cfRule type="containsText" dxfId="35" priority="19" stopIfTrue="1" operator="containsText" text="Iron Man">
      <formula>NOT(ISERROR(SEARCH("Iron Man",B16)))</formula>
    </cfRule>
    <cfRule type="containsText" dxfId="34" priority="24" stopIfTrue="1" operator="containsText" text="A Machine">
      <formula>NOT(ISERROR(SEARCH("A Machine",B16)))</formula>
    </cfRule>
    <cfRule type="containsText" dxfId="33" priority="23" stopIfTrue="1" operator="containsText" text="B Machine">
      <formula>NOT(ISERROR(SEARCH("B Machine",B16)))</formula>
    </cfRule>
    <cfRule type="containsText" dxfId="32" priority="22" stopIfTrue="1" operator="containsText" text="C MAchine">
      <formula>NOT(ISERROR(SEARCH("C MAchine",B16)))</formula>
    </cfRule>
    <cfRule type="containsText" dxfId="31" priority="21" stopIfTrue="1" operator="containsText" text="D Machine">
      <formula>NOT(ISERROR(SEARCH("D Machine",B16)))</formula>
    </cfRule>
    <cfRule type="containsText" dxfId="30" priority="20" stopIfTrue="1" operator="containsText" text="War Machine">
      <formula>NOT(ISERROR(SEARCH("War Machine",B16)))</formula>
    </cfRule>
  </conditionalFormatting>
  <conditionalFormatting sqref="B32:B44">
    <cfRule type="containsText" dxfId="29" priority="30" stopIfTrue="1" operator="containsText" text="A Machine">
      <formula>NOT(ISERROR(SEARCH("A Machine",B32)))</formula>
    </cfRule>
    <cfRule type="containsText" dxfId="28" priority="29" stopIfTrue="1" operator="containsText" text="B Machine">
      <formula>NOT(ISERROR(SEARCH("B Machine",B32)))</formula>
    </cfRule>
    <cfRule type="containsText" dxfId="27" priority="28" stopIfTrue="1" operator="containsText" text="C MAchine">
      <formula>NOT(ISERROR(SEARCH("C MAchine",B32)))</formula>
    </cfRule>
    <cfRule type="containsText" dxfId="26" priority="27" stopIfTrue="1" operator="containsText" text="D Machine">
      <formula>NOT(ISERROR(SEARCH("D Machine",B32)))</formula>
    </cfRule>
    <cfRule type="containsText" dxfId="25" priority="26" stopIfTrue="1" operator="containsText" text="War Machine">
      <formula>NOT(ISERROR(SEARCH("War Machine",B32)))</formula>
    </cfRule>
    <cfRule type="containsText" dxfId="24" priority="25" stopIfTrue="1" operator="containsText" text="Iron Man">
      <formula>NOT(ISERROR(SEARCH("Iron Man",B32)))</formula>
    </cfRule>
  </conditionalFormatting>
  <conditionalFormatting sqref="B49:B61">
    <cfRule type="containsText" dxfId="23" priority="36" stopIfTrue="1" operator="containsText" text="A Machine">
      <formula>NOT(ISERROR(SEARCH("A Machine",B49)))</formula>
    </cfRule>
    <cfRule type="containsText" dxfId="22" priority="35" stopIfTrue="1" operator="containsText" text="B Machine">
      <formula>NOT(ISERROR(SEARCH("B Machine",B49)))</formula>
    </cfRule>
    <cfRule type="containsText" dxfId="21" priority="34" stopIfTrue="1" operator="containsText" text="C MAchine">
      <formula>NOT(ISERROR(SEARCH("C MAchine",B49)))</formula>
    </cfRule>
    <cfRule type="containsText" dxfId="20" priority="33" stopIfTrue="1" operator="containsText" text="D Machine">
      <formula>NOT(ISERROR(SEARCH("D Machine",B49)))</formula>
    </cfRule>
    <cfRule type="containsText" dxfId="19" priority="32" stopIfTrue="1" operator="containsText" text="War Machine">
      <formula>NOT(ISERROR(SEARCH("War Machine",B49)))</formula>
    </cfRule>
    <cfRule type="containsText" dxfId="18" priority="31" stopIfTrue="1" operator="containsText" text="Iron Man">
      <formula>NOT(ISERROR(SEARCH("Iron Man",B49)))</formula>
    </cfRule>
  </conditionalFormatting>
  <conditionalFormatting sqref="B64:B76">
    <cfRule type="containsText" dxfId="17" priority="1" stopIfTrue="1" operator="containsText" text="Iron Man">
      <formula>NOT(ISERROR(SEARCH("Iron Man",B64)))</formula>
    </cfRule>
    <cfRule type="containsText" dxfId="16" priority="6" stopIfTrue="1" operator="containsText" text="A Machine">
      <formula>NOT(ISERROR(SEARCH("A Machine",B64)))</formula>
    </cfRule>
    <cfRule type="containsText" dxfId="15" priority="5" stopIfTrue="1" operator="containsText" text="B Machine">
      <formula>NOT(ISERROR(SEARCH("B Machine",B64)))</formula>
    </cfRule>
    <cfRule type="containsText" dxfId="14" priority="4" stopIfTrue="1" operator="containsText" text="C MAchine">
      <formula>NOT(ISERROR(SEARCH("C MAchine",B64)))</formula>
    </cfRule>
    <cfRule type="containsText" dxfId="13" priority="3" stopIfTrue="1" operator="containsText" text="D Machine">
      <formula>NOT(ISERROR(SEARCH("D Machine",B64)))</formula>
    </cfRule>
    <cfRule type="containsText" dxfId="12" priority="2" stopIfTrue="1" operator="containsText" text="War Machine">
      <formula>NOT(ISERROR(SEARCH("War Machine",B64)))</formula>
    </cfRule>
  </conditionalFormatting>
  <conditionalFormatting sqref="I32:I43">
    <cfRule type="containsText" dxfId="11" priority="37" stopIfTrue="1" operator="containsText" text="Iron Man">
      <formula>NOT(ISERROR(SEARCH("Iron Man",I32)))</formula>
    </cfRule>
    <cfRule type="containsText" dxfId="10" priority="38" stopIfTrue="1" operator="containsText" text="War Machine">
      <formula>NOT(ISERROR(SEARCH("War Machine",I32)))</formula>
    </cfRule>
    <cfRule type="containsText" dxfId="9" priority="39" stopIfTrue="1" operator="containsText" text="D Machine">
      <formula>NOT(ISERROR(SEARCH("D Machine",I32)))</formula>
    </cfRule>
    <cfRule type="containsText" dxfId="8" priority="40" stopIfTrue="1" operator="containsText" text="C MAchine">
      <formula>NOT(ISERROR(SEARCH("C MAchine",I32)))</formula>
    </cfRule>
    <cfRule type="containsText" dxfId="7" priority="41" stopIfTrue="1" operator="containsText" text="B Machine">
      <formula>NOT(ISERROR(SEARCH("B Machine",I32)))</formula>
    </cfRule>
    <cfRule type="containsText" dxfId="6" priority="42" stopIfTrue="1" operator="containsText" text="A Machine">
      <formula>NOT(ISERROR(SEARCH("A Machine",I32)))</formula>
    </cfRule>
  </conditionalFormatting>
  <conditionalFormatting sqref="I49:I61">
    <cfRule type="containsText" dxfId="5" priority="12" stopIfTrue="1" operator="containsText" text="A Machine">
      <formula>NOT(ISERROR(SEARCH("A Machine",I49)))</formula>
    </cfRule>
    <cfRule type="containsText" dxfId="4" priority="11" stopIfTrue="1" operator="containsText" text="B Machine">
      <formula>NOT(ISERROR(SEARCH("B Machine",I49)))</formula>
    </cfRule>
    <cfRule type="containsText" dxfId="3" priority="10" stopIfTrue="1" operator="containsText" text="C MAchine">
      <formula>NOT(ISERROR(SEARCH("C MAchine",I49)))</formula>
    </cfRule>
    <cfRule type="containsText" dxfId="2" priority="9" stopIfTrue="1" operator="containsText" text="D Machine">
      <formula>NOT(ISERROR(SEARCH("D Machine",I49)))</formula>
    </cfRule>
    <cfRule type="containsText" dxfId="1" priority="8" stopIfTrue="1" operator="containsText" text="War Machine">
      <formula>NOT(ISERROR(SEARCH("War Machine",I49)))</formula>
    </cfRule>
    <cfRule type="containsText" dxfId="0" priority="7" stopIfTrue="1" operator="containsText" text="Iron Man">
      <formula>NOT(ISERROR(SEARCH("Iron Man",I49)))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465A-E25E-A349-B699-0C2824D8452D}">
  <dimension ref="A1:W234"/>
  <sheetViews>
    <sheetView workbookViewId="0">
      <selection activeCell="D43" sqref="D43"/>
    </sheetView>
  </sheetViews>
  <sheetFormatPr baseColWidth="10" defaultRowHeight="16" x14ac:dyDescent="0.2"/>
  <sheetData>
    <row r="1" spans="1:23" ht="24" x14ac:dyDescent="0.3">
      <c r="A1" s="228" t="s">
        <v>170</v>
      </c>
      <c r="B1" s="225"/>
      <c r="C1" s="226"/>
      <c r="D1" s="226"/>
      <c r="E1" s="226"/>
      <c r="G1" s="228" t="s">
        <v>171</v>
      </c>
      <c r="H1" s="225"/>
      <c r="I1" s="226"/>
      <c r="J1" s="226"/>
      <c r="K1" s="226"/>
      <c r="M1" s="228" t="s">
        <v>172</v>
      </c>
      <c r="N1" s="225"/>
      <c r="O1" s="226"/>
      <c r="P1" s="226"/>
      <c r="Q1" s="226"/>
      <c r="S1" s="228" t="s">
        <v>173</v>
      </c>
      <c r="T1" s="225"/>
      <c r="U1" s="226"/>
      <c r="V1" s="226"/>
      <c r="W1" s="226"/>
    </row>
    <row r="2" spans="1:23" x14ac:dyDescent="0.2">
      <c r="A2" s="228" t="s">
        <v>165</v>
      </c>
      <c r="B2" s="228" t="s">
        <v>166</v>
      </c>
      <c r="C2" s="228" t="s">
        <v>167</v>
      </c>
      <c r="D2" s="228" t="s">
        <v>168</v>
      </c>
      <c r="E2" s="228" t="s">
        <v>169</v>
      </c>
      <c r="G2" s="228" t="s">
        <v>165</v>
      </c>
      <c r="H2" s="228" t="s">
        <v>166</v>
      </c>
      <c r="I2" s="228" t="s">
        <v>167</v>
      </c>
      <c r="J2" s="228" t="s">
        <v>168</v>
      </c>
      <c r="K2" s="228" t="s">
        <v>169</v>
      </c>
      <c r="M2" s="228" t="s">
        <v>165</v>
      </c>
      <c r="N2" s="228" t="s">
        <v>166</v>
      </c>
      <c r="O2" s="228" t="s">
        <v>167</v>
      </c>
      <c r="P2" s="228" t="s">
        <v>168</v>
      </c>
      <c r="Q2" s="228" t="s">
        <v>169</v>
      </c>
      <c r="S2" s="228" t="s">
        <v>165</v>
      </c>
      <c r="T2" s="228" t="s">
        <v>166</v>
      </c>
      <c r="U2" s="228" t="s">
        <v>167</v>
      </c>
      <c r="V2" s="228" t="s">
        <v>168</v>
      </c>
      <c r="W2" s="228" t="s">
        <v>169</v>
      </c>
    </row>
    <row r="3" spans="1:23" x14ac:dyDescent="0.2">
      <c r="A3" s="227">
        <v>1</v>
      </c>
      <c r="B3" s="227">
        <v>6</v>
      </c>
      <c r="C3" s="227">
        <v>6</v>
      </c>
      <c r="D3" s="227">
        <v>1</v>
      </c>
      <c r="E3" s="227">
        <v>5</v>
      </c>
      <c r="G3" s="227">
        <v>1</v>
      </c>
      <c r="H3" s="227">
        <v>6</v>
      </c>
      <c r="I3" s="227">
        <v>6</v>
      </c>
      <c r="J3" s="227">
        <v>1</v>
      </c>
      <c r="K3" s="227">
        <v>5</v>
      </c>
      <c r="M3" s="227">
        <v>1</v>
      </c>
      <c r="N3" s="227">
        <v>6</v>
      </c>
      <c r="O3" s="227">
        <v>6</v>
      </c>
      <c r="P3" s="227">
        <v>1</v>
      </c>
      <c r="Q3" s="227">
        <v>5</v>
      </c>
      <c r="S3" s="227">
        <v>1</v>
      </c>
      <c r="T3" s="227">
        <v>6</v>
      </c>
      <c r="U3" s="227">
        <v>6</v>
      </c>
      <c r="V3" s="227">
        <v>1</v>
      </c>
      <c r="W3" s="227">
        <v>5</v>
      </c>
    </row>
    <row r="4" spans="1:23" x14ac:dyDescent="0.2">
      <c r="A4" s="227">
        <v>2</v>
      </c>
      <c r="B4" s="227">
        <v>6</v>
      </c>
      <c r="C4" s="227">
        <v>2</v>
      </c>
      <c r="D4" s="227">
        <v>6</v>
      </c>
      <c r="E4" s="227">
        <v>6</v>
      </c>
      <c r="G4" s="227">
        <v>2</v>
      </c>
      <c r="H4" s="227">
        <v>6</v>
      </c>
      <c r="I4" s="227">
        <v>2</v>
      </c>
      <c r="J4" s="227">
        <v>6</v>
      </c>
      <c r="K4" s="227">
        <v>6</v>
      </c>
      <c r="M4" s="227">
        <v>2</v>
      </c>
      <c r="N4" s="227">
        <v>6</v>
      </c>
      <c r="O4" s="227">
        <v>2</v>
      </c>
      <c r="P4" s="227">
        <v>6</v>
      </c>
      <c r="Q4" s="227">
        <v>6</v>
      </c>
      <c r="S4" s="227">
        <v>2</v>
      </c>
      <c r="T4" s="227">
        <v>6</v>
      </c>
      <c r="U4" s="227">
        <v>2</v>
      </c>
      <c r="V4" s="227">
        <v>6</v>
      </c>
      <c r="W4" s="227">
        <v>6</v>
      </c>
    </row>
    <row r="5" spans="1:23" x14ac:dyDescent="0.2">
      <c r="A5" s="227">
        <v>8</v>
      </c>
      <c r="B5" s="227">
        <v>1</v>
      </c>
      <c r="C5" s="227">
        <v>4</v>
      </c>
      <c r="D5" s="227">
        <v>4</v>
      </c>
      <c r="E5" s="227">
        <v>1</v>
      </c>
      <c r="G5" s="227">
        <v>8</v>
      </c>
      <c r="H5" s="227">
        <v>1</v>
      </c>
      <c r="I5" s="227">
        <v>4</v>
      </c>
      <c r="J5" s="227">
        <v>4</v>
      </c>
      <c r="K5" s="227">
        <v>1</v>
      </c>
      <c r="M5" s="227">
        <v>8</v>
      </c>
      <c r="N5" s="227">
        <v>1</v>
      </c>
      <c r="O5" s="227">
        <v>4</v>
      </c>
      <c r="P5" s="227">
        <v>4</v>
      </c>
      <c r="Q5" s="227">
        <v>1</v>
      </c>
      <c r="S5" s="227">
        <v>8</v>
      </c>
      <c r="T5" s="227">
        <v>1</v>
      </c>
      <c r="U5" s="227">
        <v>4</v>
      </c>
      <c r="V5" s="227">
        <v>4</v>
      </c>
      <c r="W5" s="227">
        <v>1</v>
      </c>
    </row>
    <row r="6" spans="1:23" x14ac:dyDescent="0.2">
      <c r="A6" s="227">
        <v>5</v>
      </c>
      <c r="B6" s="227">
        <v>7</v>
      </c>
      <c r="C6" s="227">
        <v>8</v>
      </c>
      <c r="D6" s="227">
        <v>3</v>
      </c>
      <c r="E6" s="227">
        <v>1</v>
      </c>
      <c r="G6" s="227">
        <v>5</v>
      </c>
      <c r="H6" s="227">
        <v>7</v>
      </c>
      <c r="I6" s="227">
        <v>8</v>
      </c>
      <c r="J6" s="227">
        <v>3</v>
      </c>
      <c r="K6" s="227">
        <v>1</v>
      </c>
      <c r="M6" s="227">
        <v>5</v>
      </c>
      <c r="N6" s="227">
        <v>7</v>
      </c>
      <c r="O6" s="227">
        <v>8</v>
      </c>
      <c r="P6" s="227">
        <v>3</v>
      </c>
      <c r="Q6" s="227">
        <v>1</v>
      </c>
      <c r="S6" s="227">
        <v>5</v>
      </c>
      <c r="T6" s="227">
        <v>7</v>
      </c>
      <c r="U6" s="227">
        <v>8</v>
      </c>
      <c r="V6" s="227">
        <v>3</v>
      </c>
      <c r="W6" s="227">
        <v>1</v>
      </c>
    </row>
    <row r="7" spans="1:23" x14ac:dyDescent="0.2">
      <c r="A7" s="227">
        <v>7</v>
      </c>
      <c r="B7" s="227">
        <v>7</v>
      </c>
      <c r="C7" s="227">
        <v>6</v>
      </c>
      <c r="D7" s="227">
        <v>5</v>
      </c>
      <c r="E7" s="227">
        <v>3</v>
      </c>
      <c r="G7" s="227">
        <v>7</v>
      </c>
      <c r="H7" s="227">
        <v>7</v>
      </c>
      <c r="I7" s="227">
        <v>6</v>
      </c>
      <c r="J7" s="227">
        <v>5</v>
      </c>
      <c r="K7" s="227">
        <v>3</v>
      </c>
      <c r="M7" s="227">
        <v>7</v>
      </c>
      <c r="N7" s="227">
        <v>7</v>
      </c>
      <c r="O7" s="227">
        <v>6</v>
      </c>
      <c r="P7" s="227">
        <v>5</v>
      </c>
      <c r="Q7" s="227">
        <v>3</v>
      </c>
      <c r="S7" s="227">
        <v>7</v>
      </c>
      <c r="T7" s="227">
        <v>7</v>
      </c>
      <c r="U7" s="227">
        <v>6</v>
      </c>
      <c r="V7" s="227">
        <v>5</v>
      </c>
      <c r="W7" s="227">
        <v>3</v>
      </c>
    </row>
    <row r="8" spans="1:23" x14ac:dyDescent="0.2">
      <c r="A8" s="227">
        <v>7</v>
      </c>
      <c r="B8" s="227">
        <v>1</v>
      </c>
      <c r="C8" s="227">
        <v>4</v>
      </c>
      <c r="D8" s="227">
        <v>6</v>
      </c>
      <c r="E8" s="227">
        <v>1</v>
      </c>
      <c r="G8" s="227">
        <v>7</v>
      </c>
      <c r="H8" s="227">
        <v>1</v>
      </c>
      <c r="I8" s="227">
        <v>4</v>
      </c>
      <c r="J8" s="227">
        <v>6</v>
      </c>
      <c r="K8" s="227">
        <v>1</v>
      </c>
      <c r="M8" s="227">
        <v>7</v>
      </c>
      <c r="N8" s="227">
        <v>1</v>
      </c>
      <c r="O8" s="227">
        <v>4</v>
      </c>
      <c r="P8" s="227">
        <v>6</v>
      </c>
      <c r="Q8" s="227">
        <v>1</v>
      </c>
      <c r="S8" s="227">
        <v>7</v>
      </c>
      <c r="T8" s="227">
        <v>1</v>
      </c>
      <c r="U8" s="227">
        <v>4</v>
      </c>
      <c r="V8" s="227">
        <v>6</v>
      </c>
      <c r="W8" s="227">
        <v>1</v>
      </c>
    </row>
    <row r="9" spans="1:23" x14ac:dyDescent="0.2">
      <c r="A9" s="227">
        <v>5</v>
      </c>
      <c r="B9" s="227">
        <v>6</v>
      </c>
      <c r="C9" s="227">
        <v>1</v>
      </c>
      <c r="D9" s="227">
        <v>7</v>
      </c>
      <c r="E9" s="227">
        <v>5</v>
      </c>
      <c r="G9" s="227">
        <v>5</v>
      </c>
      <c r="H9" s="227">
        <v>6</v>
      </c>
      <c r="I9" s="227">
        <v>1</v>
      </c>
      <c r="J9" s="227">
        <v>7</v>
      </c>
      <c r="K9" s="227">
        <v>5</v>
      </c>
      <c r="M9" s="227">
        <v>5</v>
      </c>
      <c r="N9" s="227">
        <v>6</v>
      </c>
      <c r="O9" s="227">
        <v>1</v>
      </c>
      <c r="P9" s="227">
        <v>7</v>
      </c>
      <c r="Q9" s="227">
        <v>5</v>
      </c>
      <c r="S9" s="227">
        <v>5</v>
      </c>
      <c r="T9" s="227">
        <v>6</v>
      </c>
      <c r="U9" s="227">
        <v>1</v>
      </c>
      <c r="V9" s="227">
        <v>7</v>
      </c>
      <c r="W9" s="227">
        <v>5</v>
      </c>
    </row>
    <row r="10" spans="1:23" x14ac:dyDescent="0.2">
      <c r="A10" s="227">
        <v>3</v>
      </c>
      <c r="B10" s="227">
        <v>5</v>
      </c>
      <c r="C10" s="227">
        <v>6</v>
      </c>
      <c r="D10" s="227">
        <v>4</v>
      </c>
      <c r="E10" s="227">
        <v>4</v>
      </c>
      <c r="G10" s="227">
        <v>3</v>
      </c>
      <c r="H10" s="227">
        <v>5</v>
      </c>
      <c r="I10" s="227">
        <v>6</v>
      </c>
      <c r="J10" s="227">
        <v>4</v>
      </c>
      <c r="K10" s="227">
        <v>4</v>
      </c>
      <c r="M10" s="227">
        <v>3</v>
      </c>
      <c r="N10" s="227">
        <v>5</v>
      </c>
      <c r="O10" s="227">
        <v>6</v>
      </c>
      <c r="P10" s="227">
        <v>4</v>
      </c>
      <c r="Q10" s="227">
        <v>4</v>
      </c>
      <c r="S10" s="227">
        <v>3</v>
      </c>
      <c r="T10" s="227">
        <v>5</v>
      </c>
      <c r="U10" s="227">
        <v>6</v>
      </c>
      <c r="V10" s="227">
        <v>4</v>
      </c>
      <c r="W10" s="227">
        <v>4</v>
      </c>
    </row>
    <row r="11" spans="1:23" x14ac:dyDescent="0.2">
      <c r="A11" s="227">
        <v>7</v>
      </c>
      <c r="B11" s="227">
        <v>3</v>
      </c>
      <c r="C11" s="227">
        <v>6</v>
      </c>
      <c r="D11" s="227">
        <v>6</v>
      </c>
      <c r="E11" s="227">
        <v>6</v>
      </c>
      <c r="G11" s="227">
        <v>7</v>
      </c>
      <c r="H11" s="227">
        <v>3</v>
      </c>
      <c r="I11" s="227">
        <v>6</v>
      </c>
      <c r="J11" s="227">
        <v>6</v>
      </c>
      <c r="K11" s="227">
        <v>6</v>
      </c>
      <c r="M11" s="227">
        <v>7</v>
      </c>
      <c r="N11" s="227">
        <v>3</v>
      </c>
      <c r="O11" s="227">
        <v>6</v>
      </c>
      <c r="P11" s="227">
        <v>6</v>
      </c>
      <c r="Q11" s="227">
        <v>6</v>
      </c>
      <c r="S11" s="227">
        <v>7</v>
      </c>
      <c r="T11" s="227">
        <v>3</v>
      </c>
      <c r="U11" s="227">
        <v>6</v>
      </c>
      <c r="V11" s="227">
        <v>6</v>
      </c>
      <c r="W11" s="227">
        <v>6</v>
      </c>
    </row>
    <row r="12" spans="1:23" x14ac:dyDescent="0.2">
      <c r="A12" s="227">
        <v>4</v>
      </c>
      <c r="B12" s="227">
        <v>1</v>
      </c>
      <c r="C12" s="227">
        <v>1</v>
      </c>
      <c r="D12" s="227">
        <v>3</v>
      </c>
      <c r="E12" s="227">
        <v>7</v>
      </c>
      <c r="G12" s="227">
        <v>4</v>
      </c>
      <c r="H12" s="227">
        <v>1</v>
      </c>
      <c r="I12" s="227">
        <v>1</v>
      </c>
      <c r="J12" s="227">
        <v>3</v>
      </c>
      <c r="K12" s="227">
        <v>7</v>
      </c>
      <c r="M12" s="227">
        <v>4</v>
      </c>
      <c r="N12" s="227">
        <v>1</v>
      </c>
      <c r="O12" s="227">
        <v>1</v>
      </c>
      <c r="P12" s="227">
        <v>3</v>
      </c>
      <c r="Q12" s="227">
        <v>7</v>
      </c>
      <c r="S12" s="227">
        <v>4</v>
      </c>
      <c r="T12" s="227">
        <v>1</v>
      </c>
      <c r="U12" s="227">
        <v>1</v>
      </c>
      <c r="V12" s="227">
        <v>3</v>
      </c>
      <c r="W12" s="227">
        <v>7</v>
      </c>
    </row>
    <row r="13" spans="1:23" x14ac:dyDescent="0.2">
      <c r="A13" s="227">
        <v>2</v>
      </c>
      <c r="B13" s="227">
        <v>6</v>
      </c>
      <c r="C13" s="227">
        <v>8</v>
      </c>
      <c r="D13" s="227">
        <v>1</v>
      </c>
      <c r="E13" s="227">
        <v>2</v>
      </c>
      <c r="G13" s="227">
        <v>2</v>
      </c>
      <c r="H13" s="227">
        <v>6</v>
      </c>
      <c r="I13" s="227">
        <v>8</v>
      </c>
      <c r="J13" s="227">
        <v>1</v>
      </c>
      <c r="K13" s="227">
        <v>2</v>
      </c>
      <c r="M13" s="227">
        <v>2</v>
      </c>
      <c r="N13" s="227">
        <v>6</v>
      </c>
      <c r="O13" s="227">
        <v>8</v>
      </c>
      <c r="P13" s="227">
        <v>1</v>
      </c>
      <c r="Q13" s="227">
        <v>2</v>
      </c>
      <c r="S13" s="227">
        <v>2</v>
      </c>
      <c r="T13" s="227">
        <v>6</v>
      </c>
      <c r="U13" s="227">
        <v>8</v>
      </c>
      <c r="V13" s="227">
        <v>1</v>
      </c>
      <c r="W13" s="227">
        <v>2</v>
      </c>
    </row>
    <row r="14" spans="1:23" x14ac:dyDescent="0.2">
      <c r="A14" s="227">
        <v>4</v>
      </c>
      <c r="B14" s="227">
        <v>6</v>
      </c>
      <c r="C14" s="227">
        <v>2</v>
      </c>
      <c r="D14" s="227">
        <v>2</v>
      </c>
      <c r="E14" s="227">
        <v>3</v>
      </c>
      <c r="G14" s="227">
        <v>4</v>
      </c>
      <c r="H14" s="227">
        <v>6</v>
      </c>
      <c r="I14" s="227">
        <v>2</v>
      </c>
      <c r="J14" s="227">
        <v>2</v>
      </c>
      <c r="K14" s="227">
        <v>3</v>
      </c>
      <c r="M14" s="227">
        <v>4</v>
      </c>
      <c r="N14" s="227">
        <v>6</v>
      </c>
      <c r="O14" s="227">
        <v>2</v>
      </c>
      <c r="P14" s="227">
        <v>2</v>
      </c>
      <c r="Q14" s="227">
        <v>3</v>
      </c>
      <c r="S14" s="227">
        <v>4</v>
      </c>
      <c r="T14" s="227">
        <v>6</v>
      </c>
      <c r="U14" s="227">
        <v>2</v>
      </c>
      <c r="V14" s="227">
        <v>2</v>
      </c>
      <c r="W14" s="227">
        <v>3</v>
      </c>
    </row>
    <row r="15" spans="1:23" x14ac:dyDescent="0.2">
      <c r="A15" s="227">
        <v>8</v>
      </c>
      <c r="B15" s="227">
        <v>1</v>
      </c>
      <c r="C15" s="227">
        <v>8</v>
      </c>
      <c r="D15" s="227">
        <v>2</v>
      </c>
      <c r="E15" s="227">
        <v>8</v>
      </c>
      <c r="G15" s="227">
        <v>8</v>
      </c>
      <c r="H15" s="227">
        <v>1</v>
      </c>
      <c r="I15" s="227">
        <v>8</v>
      </c>
      <c r="J15" s="227">
        <v>2</v>
      </c>
      <c r="K15" s="227">
        <v>8</v>
      </c>
      <c r="M15" s="227">
        <v>8</v>
      </c>
      <c r="N15" s="227">
        <v>1</v>
      </c>
      <c r="O15" s="227">
        <v>8</v>
      </c>
      <c r="P15" s="227">
        <v>2</v>
      </c>
      <c r="Q15" s="227">
        <v>8</v>
      </c>
      <c r="S15" s="227">
        <v>8</v>
      </c>
      <c r="T15" s="227">
        <v>1</v>
      </c>
      <c r="U15" s="227">
        <v>8</v>
      </c>
      <c r="V15" s="227">
        <v>2</v>
      </c>
      <c r="W15" s="227">
        <v>8</v>
      </c>
    </row>
    <row r="16" spans="1:23" x14ac:dyDescent="0.2">
      <c r="A16" s="227">
        <v>1</v>
      </c>
      <c r="B16" s="227">
        <v>5</v>
      </c>
      <c r="C16" s="227">
        <v>1</v>
      </c>
      <c r="D16" s="227">
        <v>7</v>
      </c>
      <c r="E16" s="227">
        <v>7</v>
      </c>
      <c r="G16" s="227">
        <v>1</v>
      </c>
      <c r="H16" s="227">
        <v>5</v>
      </c>
      <c r="I16" s="227">
        <v>1</v>
      </c>
      <c r="J16" s="227">
        <v>7</v>
      </c>
      <c r="K16" s="227">
        <v>7</v>
      </c>
      <c r="M16" s="227">
        <v>1</v>
      </c>
      <c r="N16" s="227">
        <v>5</v>
      </c>
      <c r="O16" s="227">
        <v>1</v>
      </c>
      <c r="P16" s="227">
        <v>7</v>
      </c>
      <c r="Q16" s="227">
        <v>7</v>
      </c>
      <c r="S16" s="227">
        <v>1</v>
      </c>
      <c r="T16" s="227">
        <v>5</v>
      </c>
      <c r="U16" s="227">
        <v>1</v>
      </c>
      <c r="V16" s="227">
        <v>7</v>
      </c>
      <c r="W16" s="227">
        <v>7</v>
      </c>
    </row>
    <row r="17" spans="1:23" x14ac:dyDescent="0.2">
      <c r="A17" s="227">
        <v>8</v>
      </c>
      <c r="B17" s="227">
        <v>6</v>
      </c>
      <c r="C17" s="227">
        <v>8</v>
      </c>
      <c r="D17" s="227">
        <v>5</v>
      </c>
      <c r="E17" s="227">
        <v>8</v>
      </c>
      <c r="G17" s="227">
        <v>8</v>
      </c>
      <c r="H17" s="227">
        <v>6</v>
      </c>
      <c r="I17" s="227">
        <v>8</v>
      </c>
      <c r="J17" s="227">
        <v>5</v>
      </c>
      <c r="K17" s="227">
        <v>8</v>
      </c>
      <c r="M17" s="227">
        <v>8</v>
      </c>
      <c r="N17" s="227">
        <v>6</v>
      </c>
      <c r="O17" s="227">
        <v>8</v>
      </c>
      <c r="P17" s="227">
        <v>5</v>
      </c>
      <c r="Q17" s="227">
        <v>8</v>
      </c>
      <c r="S17" s="227">
        <v>8</v>
      </c>
      <c r="T17" s="227">
        <v>6</v>
      </c>
      <c r="U17" s="227">
        <v>8</v>
      </c>
      <c r="V17" s="227">
        <v>5</v>
      </c>
      <c r="W17" s="227">
        <v>8</v>
      </c>
    </row>
    <row r="18" spans="1:23" x14ac:dyDescent="0.2">
      <c r="A18" s="227">
        <v>8</v>
      </c>
      <c r="B18" s="227">
        <v>5</v>
      </c>
      <c r="C18" s="227">
        <v>1</v>
      </c>
      <c r="D18" s="227">
        <v>7</v>
      </c>
      <c r="E18" s="227">
        <v>2</v>
      </c>
      <c r="G18" s="227">
        <v>8</v>
      </c>
      <c r="H18" s="227">
        <v>5</v>
      </c>
      <c r="I18" s="227">
        <v>1</v>
      </c>
      <c r="J18" s="227">
        <v>7</v>
      </c>
      <c r="K18" s="227">
        <v>2</v>
      </c>
      <c r="M18" s="227">
        <v>8</v>
      </c>
      <c r="N18" s="227">
        <v>5</v>
      </c>
      <c r="O18" s="227">
        <v>1</v>
      </c>
      <c r="P18" s="227">
        <v>7</v>
      </c>
      <c r="Q18" s="227">
        <v>2</v>
      </c>
      <c r="S18" s="227">
        <v>8</v>
      </c>
      <c r="T18" s="227">
        <v>5</v>
      </c>
      <c r="U18" s="227">
        <v>1</v>
      </c>
      <c r="V18" s="227">
        <v>7</v>
      </c>
      <c r="W18" s="227">
        <v>2</v>
      </c>
    </row>
    <row r="19" spans="1:23" x14ac:dyDescent="0.2">
      <c r="A19" s="227">
        <v>6</v>
      </c>
      <c r="B19" s="227">
        <v>6</v>
      </c>
      <c r="C19" s="227">
        <v>6</v>
      </c>
      <c r="D19" s="227">
        <v>7</v>
      </c>
      <c r="E19" s="227">
        <v>5</v>
      </c>
      <c r="G19" s="227">
        <v>6</v>
      </c>
      <c r="H19" s="227">
        <v>6</v>
      </c>
      <c r="I19" s="227">
        <v>6</v>
      </c>
      <c r="J19" s="227">
        <v>7</v>
      </c>
      <c r="K19" s="227">
        <v>5</v>
      </c>
      <c r="M19" s="227">
        <v>6</v>
      </c>
      <c r="N19" s="227">
        <v>6</v>
      </c>
      <c r="O19" s="227">
        <v>6</v>
      </c>
      <c r="P19" s="227">
        <v>7</v>
      </c>
      <c r="Q19" s="227">
        <v>5</v>
      </c>
      <c r="S19" s="227">
        <v>6</v>
      </c>
      <c r="T19" s="227">
        <v>6</v>
      </c>
      <c r="U19" s="227">
        <v>6</v>
      </c>
      <c r="V19" s="227">
        <v>7</v>
      </c>
      <c r="W19" s="227">
        <v>5</v>
      </c>
    </row>
    <row r="20" spans="1:23" x14ac:dyDescent="0.2">
      <c r="A20" s="227">
        <v>7</v>
      </c>
      <c r="B20" s="227">
        <v>5</v>
      </c>
      <c r="C20" s="227">
        <v>7</v>
      </c>
      <c r="D20" s="227">
        <v>5</v>
      </c>
      <c r="E20" s="227">
        <v>7</v>
      </c>
      <c r="G20" s="227">
        <v>7</v>
      </c>
      <c r="H20" s="227">
        <v>5</v>
      </c>
      <c r="I20" s="227">
        <v>7</v>
      </c>
      <c r="J20" s="227">
        <v>5</v>
      </c>
      <c r="K20" s="227">
        <v>7</v>
      </c>
      <c r="M20" s="227">
        <v>7</v>
      </c>
      <c r="N20" s="227">
        <v>5</v>
      </c>
      <c r="O20" s="227">
        <v>7</v>
      </c>
      <c r="P20" s="227">
        <v>5</v>
      </c>
      <c r="Q20" s="227">
        <v>7</v>
      </c>
      <c r="S20" s="227">
        <v>7</v>
      </c>
      <c r="T20" s="227">
        <v>5</v>
      </c>
      <c r="U20" s="227">
        <v>7</v>
      </c>
      <c r="V20" s="227">
        <v>5</v>
      </c>
      <c r="W20" s="227">
        <v>7</v>
      </c>
    </row>
    <row r="21" spans="1:23" x14ac:dyDescent="0.2">
      <c r="A21" s="227">
        <v>8</v>
      </c>
      <c r="B21" s="227">
        <v>5</v>
      </c>
      <c r="C21" s="227">
        <v>3</v>
      </c>
      <c r="D21" s="227">
        <v>6</v>
      </c>
      <c r="E21" s="227">
        <v>6</v>
      </c>
      <c r="G21" s="227">
        <v>8</v>
      </c>
      <c r="H21" s="227">
        <v>5</v>
      </c>
      <c r="I21" s="227">
        <v>3</v>
      </c>
      <c r="J21" s="227">
        <v>6</v>
      </c>
      <c r="K21" s="227">
        <v>6</v>
      </c>
      <c r="M21" s="227">
        <v>8</v>
      </c>
      <c r="N21" s="227">
        <v>5</v>
      </c>
      <c r="O21" s="227">
        <v>3</v>
      </c>
      <c r="P21" s="227">
        <v>6</v>
      </c>
      <c r="Q21" s="227">
        <v>6</v>
      </c>
      <c r="S21" s="227">
        <v>8</v>
      </c>
      <c r="T21" s="227">
        <v>5</v>
      </c>
      <c r="U21" s="227">
        <v>3</v>
      </c>
      <c r="V21" s="227">
        <v>6</v>
      </c>
      <c r="W21" s="227">
        <v>6</v>
      </c>
    </row>
    <row r="22" spans="1:23" x14ac:dyDescent="0.2">
      <c r="A22" s="227">
        <v>3</v>
      </c>
      <c r="B22" s="227">
        <v>6</v>
      </c>
      <c r="C22" s="227">
        <v>1</v>
      </c>
      <c r="D22" s="227">
        <v>4</v>
      </c>
      <c r="E22" s="227">
        <v>8</v>
      </c>
      <c r="G22" s="227">
        <v>3</v>
      </c>
      <c r="H22" s="227">
        <v>6</v>
      </c>
      <c r="I22" s="227">
        <v>1</v>
      </c>
      <c r="J22" s="227">
        <v>4</v>
      </c>
      <c r="K22" s="227">
        <v>8</v>
      </c>
      <c r="M22" s="227">
        <v>3</v>
      </c>
      <c r="N22" s="227">
        <v>6</v>
      </c>
      <c r="O22" s="227">
        <v>1</v>
      </c>
      <c r="P22" s="227">
        <v>4</v>
      </c>
      <c r="Q22" s="227">
        <v>8</v>
      </c>
      <c r="S22" s="227">
        <v>3</v>
      </c>
      <c r="T22" s="227">
        <v>6</v>
      </c>
      <c r="U22" s="227">
        <v>1</v>
      </c>
      <c r="V22" s="227">
        <v>4</v>
      </c>
      <c r="W22" s="227">
        <v>8</v>
      </c>
    </row>
    <row r="23" spans="1:23" x14ac:dyDescent="0.2">
      <c r="A23" s="227">
        <v>8</v>
      </c>
      <c r="B23" s="227">
        <v>6</v>
      </c>
      <c r="C23" s="227">
        <v>6</v>
      </c>
      <c r="D23" s="227">
        <v>4</v>
      </c>
      <c r="E23" s="227">
        <v>3</v>
      </c>
      <c r="G23" s="227">
        <v>8</v>
      </c>
      <c r="H23" s="227">
        <v>6</v>
      </c>
      <c r="I23" s="227">
        <v>6</v>
      </c>
      <c r="J23" s="227">
        <v>4</v>
      </c>
      <c r="K23" s="227">
        <v>3</v>
      </c>
      <c r="M23" s="227">
        <v>8</v>
      </c>
      <c r="N23" s="227">
        <v>6</v>
      </c>
      <c r="O23" s="227">
        <v>6</v>
      </c>
      <c r="P23" s="227">
        <v>4</v>
      </c>
      <c r="Q23" s="227">
        <v>3</v>
      </c>
      <c r="S23" s="227">
        <v>8</v>
      </c>
      <c r="T23" s="227">
        <v>6</v>
      </c>
      <c r="U23" s="227">
        <v>6</v>
      </c>
      <c r="V23" s="227">
        <v>4</v>
      </c>
      <c r="W23" s="227">
        <v>3</v>
      </c>
    </row>
    <row r="24" spans="1:23" x14ac:dyDescent="0.2">
      <c r="A24" s="227">
        <v>2</v>
      </c>
      <c r="B24" s="227">
        <v>3</v>
      </c>
      <c r="C24" s="227">
        <v>6</v>
      </c>
      <c r="D24" s="227">
        <v>7</v>
      </c>
      <c r="E24" s="227">
        <v>6</v>
      </c>
      <c r="G24" s="227">
        <v>2</v>
      </c>
      <c r="H24" s="227">
        <v>3</v>
      </c>
      <c r="I24" s="227">
        <v>6</v>
      </c>
      <c r="J24" s="227">
        <v>7</v>
      </c>
      <c r="K24" s="227">
        <v>6</v>
      </c>
      <c r="M24" s="227">
        <v>2</v>
      </c>
      <c r="N24" s="227">
        <v>3</v>
      </c>
      <c r="O24" s="227">
        <v>6</v>
      </c>
      <c r="P24" s="227">
        <v>7</v>
      </c>
      <c r="Q24" s="227">
        <v>6</v>
      </c>
      <c r="S24" s="227">
        <v>2</v>
      </c>
      <c r="T24" s="227">
        <v>3</v>
      </c>
      <c r="U24" s="227">
        <v>6</v>
      </c>
      <c r="V24" s="227">
        <v>7</v>
      </c>
      <c r="W24" s="227">
        <v>6</v>
      </c>
    </row>
    <row r="25" spans="1:23" x14ac:dyDescent="0.2">
      <c r="A25" s="227">
        <v>6</v>
      </c>
      <c r="B25" s="227">
        <v>1</v>
      </c>
      <c r="C25" s="227">
        <v>7</v>
      </c>
      <c r="D25" s="227">
        <v>1</v>
      </c>
      <c r="E25" s="227">
        <v>7</v>
      </c>
      <c r="G25" s="227">
        <v>6</v>
      </c>
      <c r="H25" s="227">
        <v>1</v>
      </c>
      <c r="I25" s="227">
        <v>7</v>
      </c>
      <c r="J25" s="227">
        <v>1</v>
      </c>
      <c r="K25" s="227">
        <v>7</v>
      </c>
      <c r="M25" s="227">
        <v>6</v>
      </c>
      <c r="N25" s="227">
        <v>1</v>
      </c>
      <c r="O25" s="227">
        <v>7</v>
      </c>
      <c r="P25" s="227">
        <v>1</v>
      </c>
      <c r="Q25" s="227">
        <v>7</v>
      </c>
      <c r="S25" s="227">
        <v>6</v>
      </c>
      <c r="T25" s="227">
        <v>1</v>
      </c>
      <c r="U25" s="227">
        <v>7</v>
      </c>
      <c r="V25" s="227">
        <v>1</v>
      </c>
      <c r="W25" s="227">
        <v>7</v>
      </c>
    </row>
    <row r="26" spans="1:23" x14ac:dyDescent="0.2">
      <c r="A26" s="227">
        <v>2</v>
      </c>
      <c r="B26" s="227">
        <v>6</v>
      </c>
      <c r="C26" s="227">
        <v>2</v>
      </c>
      <c r="D26" s="227">
        <v>2</v>
      </c>
      <c r="E26" s="227">
        <v>6</v>
      </c>
      <c r="G26" s="227">
        <v>2</v>
      </c>
      <c r="H26" s="227">
        <v>6</v>
      </c>
      <c r="I26" s="227">
        <v>2</v>
      </c>
      <c r="J26" s="227">
        <v>2</v>
      </c>
      <c r="K26" s="227">
        <v>6</v>
      </c>
      <c r="M26" s="227">
        <v>2</v>
      </c>
      <c r="N26" s="227">
        <v>6</v>
      </c>
      <c r="O26" s="227">
        <v>2</v>
      </c>
      <c r="P26" s="227">
        <v>2</v>
      </c>
      <c r="Q26" s="227">
        <v>6</v>
      </c>
      <c r="S26" s="227">
        <v>2</v>
      </c>
      <c r="T26" s="227">
        <v>6</v>
      </c>
      <c r="U26" s="227">
        <v>2</v>
      </c>
      <c r="V26" s="227">
        <v>2</v>
      </c>
      <c r="W26" s="227">
        <v>6</v>
      </c>
    </row>
    <row r="27" spans="1:23" x14ac:dyDescent="0.2">
      <c r="A27" s="227">
        <v>7</v>
      </c>
      <c r="B27" s="227">
        <v>7</v>
      </c>
      <c r="C27" s="227">
        <v>8</v>
      </c>
      <c r="D27" s="227">
        <v>6</v>
      </c>
      <c r="E27" s="227">
        <v>8</v>
      </c>
      <c r="G27" s="227">
        <v>7</v>
      </c>
      <c r="H27" s="227">
        <v>7</v>
      </c>
      <c r="I27" s="227">
        <v>8</v>
      </c>
      <c r="J27" s="227">
        <v>6</v>
      </c>
      <c r="K27" s="227">
        <v>8</v>
      </c>
      <c r="M27" s="227">
        <v>7</v>
      </c>
      <c r="N27" s="227">
        <v>7</v>
      </c>
      <c r="O27" s="227">
        <v>8</v>
      </c>
      <c r="P27" s="227">
        <v>6</v>
      </c>
      <c r="Q27" s="227">
        <v>8</v>
      </c>
      <c r="S27" s="227">
        <v>7</v>
      </c>
      <c r="T27" s="227">
        <v>7</v>
      </c>
      <c r="U27" s="227">
        <v>8</v>
      </c>
      <c r="V27" s="227">
        <v>6</v>
      </c>
      <c r="W27" s="227">
        <v>8</v>
      </c>
    </row>
    <row r="28" spans="1:23" x14ac:dyDescent="0.2">
      <c r="A28" s="227">
        <v>5</v>
      </c>
      <c r="B28" s="227">
        <v>7</v>
      </c>
      <c r="C28" s="227">
        <v>5</v>
      </c>
      <c r="D28" s="227">
        <v>5</v>
      </c>
      <c r="E28" s="227">
        <v>4</v>
      </c>
      <c r="G28" s="227">
        <v>5</v>
      </c>
      <c r="H28" s="227">
        <v>7</v>
      </c>
      <c r="I28" s="227">
        <v>5</v>
      </c>
      <c r="J28" s="227">
        <v>5</v>
      </c>
      <c r="K28" s="227">
        <v>4</v>
      </c>
      <c r="M28" s="227">
        <v>5</v>
      </c>
      <c r="N28" s="227">
        <v>7</v>
      </c>
      <c r="O28" s="227">
        <v>5</v>
      </c>
      <c r="P28" s="227">
        <v>5</v>
      </c>
      <c r="Q28" s="227">
        <v>4</v>
      </c>
      <c r="S28" s="227">
        <v>5</v>
      </c>
      <c r="T28" s="227">
        <v>7</v>
      </c>
      <c r="U28" s="227">
        <v>5</v>
      </c>
      <c r="V28" s="227">
        <v>5</v>
      </c>
      <c r="W28" s="227">
        <v>4</v>
      </c>
    </row>
    <row r="29" spans="1:23" x14ac:dyDescent="0.2">
      <c r="A29" s="227">
        <v>2</v>
      </c>
      <c r="B29" s="227">
        <v>5</v>
      </c>
      <c r="C29" s="227">
        <v>1</v>
      </c>
      <c r="D29" s="227">
        <v>7</v>
      </c>
      <c r="E29" s="227">
        <v>8</v>
      </c>
      <c r="G29" s="227">
        <v>2</v>
      </c>
      <c r="H29" s="227">
        <v>5</v>
      </c>
      <c r="I29" s="227">
        <v>1</v>
      </c>
      <c r="J29" s="227">
        <v>7</v>
      </c>
      <c r="K29" s="227">
        <v>8</v>
      </c>
      <c r="M29" s="227">
        <v>2</v>
      </c>
      <c r="N29" s="227">
        <v>5</v>
      </c>
      <c r="O29" s="227">
        <v>1</v>
      </c>
      <c r="P29" s="227">
        <v>7</v>
      </c>
      <c r="Q29" s="227">
        <v>8</v>
      </c>
      <c r="S29" s="227">
        <v>2</v>
      </c>
      <c r="T29" s="227">
        <v>5</v>
      </c>
      <c r="U29" s="227">
        <v>1</v>
      </c>
      <c r="V29" s="227">
        <v>7</v>
      </c>
      <c r="W29" s="227">
        <v>8</v>
      </c>
    </row>
    <row r="30" spans="1:23" x14ac:dyDescent="0.2">
      <c r="A30" s="227">
        <v>3</v>
      </c>
      <c r="B30" s="227">
        <v>1</v>
      </c>
      <c r="C30" s="227">
        <v>6</v>
      </c>
      <c r="D30" s="227">
        <v>7</v>
      </c>
      <c r="E30" s="227">
        <v>8</v>
      </c>
      <c r="G30" s="227">
        <v>3</v>
      </c>
      <c r="H30" s="227">
        <v>1</v>
      </c>
      <c r="I30" s="227">
        <v>6</v>
      </c>
      <c r="J30" s="227">
        <v>7</v>
      </c>
      <c r="K30" s="227">
        <v>8</v>
      </c>
      <c r="M30" s="227">
        <v>3</v>
      </c>
      <c r="N30" s="227">
        <v>1</v>
      </c>
      <c r="O30" s="227">
        <v>6</v>
      </c>
      <c r="P30" s="227">
        <v>7</v>
      </c>
      <c r="Q30" s="227">
        <v>8</v>
      </c>
      <c r="S30" s="227">
        <v>3</v>
      </c>
      <c r="T30" s="227">
        <v>1</v>
      </c>
      <c r="U30" s="227">
        <v>6</v>
      </c>
      <c r="V30" s="227">
        <v>7</v>
      </c>
      <c r="W30" s="227">
        <v>8</v>
      </c>
    </row>
    <row r="31" spans="1:23" x14ac:dyDescent="0.2">
      <c r="A31" s="227">
        <v>7</v>
      </c>
      <c r="B31" s="227">
        <v>6</v>
      </c>
      <c r="C31" s="227">
        <v>4</v>
      </c>
      <c r="D31" s="227">
        <v>5</v>
      </c>
      <c r="E31" s="227">
        <v>5</v>
      </c>
      <c r="G31" s="227">
        <v>7</v>
      </c>
      <c r="H31" s="227">
        <v>6</v>
      </c>
      <c r="I31" s="227">
        <v>4</v>
      </c>
      <c r="J31" s="227">
        <v>5</v>
      </c>
      <c r="K31" s="227">
        <v>5</v>
      </c>
      <c r="M31" s="227">
        <v>7</v>
      </c>
      <c r="N31" s="227">
        <v>6</v>
      </c>
      <c r="O31" s="227">
        <v>4</v>
      </c>
      <c r="P31" s="227">
        <v>5</v>
      </c>
      <c r="Q31" s="227">
        <v>5</v>
      </c>
      <c r="S31" s="227">
        <v>7</v>
      </c>
      <c r="T31" s="227">
        <v>6</v>
      </c>
      <c r="U31" s="227">
        <v>4</v>
      </c>
      <c r="V31" s="227">
        <v>5</v>
      </c>
      <c r="W31" s="227">
        <v>5</v>
      </c>
    </row>
    <row r="32" spans="1:23" x14ac:dyDescent="0.2">
      <c r="A32" s="227">
        <v>3</v>
      </c>
      <c r="B32" s="227">
        <v>6</v>
      </c>
      <c r="C32" s="227">
        <v>1</v>
      </c>
      <c r="D32" s="227">
        <v>6</v>
      </c>
      <c r="E32" s="227">
        <v>5</v>
      </c>
      <c r="G32" s="227">
        <v>3</v>
      </c>
      <c r="H32" s="227">
        <v>6</v>
      </c>
      <c r="I32" s="227">
        <v>1</v>
      </c>
      <c r="J32" s="227">
        <v>6</v>
      </c>
      <c r="K32" s="227">
        <v>5</v>
      </c>
      <c r="M32" s="227">
        <v>3</v>
      </c>
      <c r="N32" s="227">
        <v>6</v>
      </c>
      <c r="O32" s="227">
        <v>1</v>
      </c>
      <c r="P32" s="227">
        <v>6</v>
      </c>
      <c r="Q32" s="227">
        <v>5</v>
      </c>
      <c r="S32" s="227">
        <v>3</v>
      </c>
      <c r="T32" s="227">
        <v>6</v>
      </c>
      <c r="U32" s="227">
        <v>1</v>
      </c>
      <c r="V32" s="227">
        <v>6</v>
      </c>
      <c r="W32" s="227">
        <v>5</v>
      </c>
    </row>
    <row r="33" spans="1:23" x14ac:dyDescent="0.2">
      <c r="A33" s="227">
        <v>3</v>
      </c>
      <c r="B33" s="227">
        <v>1</v>
      </c>
      <c r="C33" s="227">
        <v>6</v>
      </c>
      <c r="D33" s="227">
        <v>5</v>
      </c>
      <c r="E33" s="227">
        <v>6</v>
      </c>
      <c r="G33" s="227">
        <v>3</v>
      </c>
      <c r="H33" s="227">
        <v>1</v>
      </c>
      <c r="I33" s="227">
        <v>6</v>
      </c>
      <c r="J33" s="227">
        <v>5</v>
      </c>
      <c r="K33" s="227">
        <v>6</v>
      </c>
      <c r="M33" s="227">
        <v>3</v>
      </c>
      <c r="N33" s="227">
        <v>1</v>
      </c>
      <c r="O33" s="227">
        <v>6</v>
      </c>
      <c r="P33" s="227">
        <v>5</v>
      </c>
      <c r="Q33" s="227">
        <v>6</v>
      </c>
      <c r="S33" s="227">
        <v>3</v>
      </c>
      <c r="T33" s="227">
        <v>1</v>
      </c>
      <c r="U33" s="227">
        <v>6</v>
      </c>
      <c r="V33" s="227">
        <v>5</v>
      </c>
      <c r="W33" s="227">
        <v>6</v>
      </c>
    </row>
    <row r="34" spans="1:23" x14ac:dyDescent="0.2">
      <c r="A34" s="227">
        <v>3</v>
      </c>
      <c r="B34" s="227">
        <v>3</v>
      </c>
      <c r="C34" s="227">
        <v>6</v>
      </c>
      <c r="D34" s="227">
        <v>8</v>
      </c>
      <c r="E34" s="227">
        <v>8</v>
      </c>
      <c r="G34" s="227">
        <v>3</v>
      </c>
      <c r="H34" s="227">
        <v>3</v>
      </c>
      <c r="I34" s="227">
        <v>6</v>
      </c>
      <c r="J34" s="227">
        <v>8</v>
      </c>
      <c r="K34" s="227">
        <v>8</v>
      </c>
      <c r="M34" s="227">
        <v>3</v>
      </c>
      <c r="N34" s="227">
        <v>3</v>
      </c>
      <c r="O34" s="227">
        <v>6</v>
      </c>
      <c r="P34" s="227">
        <v>8</v>
      </c>
      <c r="Q34" s="227">
        <v>8</v>
      </c>
      <c r="S34" s="227">
        <v>3</v>
      </c>
      <c r="T34" s="227">
        <v>3</v>
      </c>
      <c r="U34" s="227">
        <v>6</v>
      </c>
      <c r="V34" s="227">
        <v>8</v>
      </c>
      <c r="W34" s="227">
        <v>8</v>
      </c>
    </row>
    <row r="35" spans="1:23" x14ac:dyDescent="0.2">
      <c r="A35" s="227">
        <v>8</v>
      </c>
      <c r="B35" s="227">
        <v>6</v>
      </c>
      <c r="C35" s="227">
        <v>1</v>
      </c>
      <c r="D35" s="227">
        <v>1</v>
      </c>
      <c r="E35" s="227">
        <v>7</v>
      </c>
      <c r="G35" s="227">
        <v>8</v>
      </c>
      <c r="H35" s="227">
        <v>6</v>
      </c>
      <c r="I35" s="227">
        <v>1</v>
      </c>
      <c r="J35" s="227">
        <v>1</v>
      </c>
      <c r="K35" s="227">
        <v>7</v>
      </c>
      <c r="M35" s="227">
        <v>8</v>
      </c>
      <c r="N35" s="227">
        <v>6</v>
      </c>
      <c r="O35" s="227">
        <v>1</v>
      </c>
      <c r="P35" s="227">
        <v>1</v>
      </c>
      <c r="Q35" s="227">
        <v>7</v>
      </c>
      <c r="S35" s="227">
        <v>8</v>
      </c>
      <c r="T35" s="227">
        <v>6</v>
      </c>
      <c r="U35" s="227">
        <v>1</v>
      </c>
      <c r="V35" s="227">
        <v>1</v>
      </c>
      <c r="W35" s="227">
        <v>7</v>
      </c>
    </row>
    <row r="36" spans="1:23" x14ac:dyDescent="0.2">
      <c r="A36" s="227">
        <v>5</v>
      </c>
      <c r="B36" s="227">
        <v>8</v>
      </c>
      <c r="C36" s="227">
        <v>6</v>
      </c>
      <c r="D36" s="227">
        <v>4</v>
      </c>
      <c r="E36" s="227">
        <v>3</v>
      </c>
      <c r="G36" s="227">
        <v>5</v>
      </c>
      <c r="H36" s="227">
        <v>8</v>
      </c>
      <c r="I36" s="227">
        <v>6</v>
      </c>
      <c r="J36" s="227">
        <v>4</v>
      </c>
      <c r="K36" s="227">
        <v>3</v>
      </c>
      <c r="M36" s="227">
        <v>5</v>
      </c>
      <c r="N36" s="227">
        <v>8</v>
      </c>
      <c r="O36" s="227">
        <v>6</v>
      </c>
      <c r="P36" s="227">
        <v>4</v>
      </c>
      <c r="Q36" s="227">
        <v>3</v>
      </c>
      <c r="S36" s="227">
        <v>5</v>
      </c>
      <c r="T36" s="227">
        <v>8</v>
      </c>
      <c r="U36" s="227">
        <v>6</v>
      </c>
      <c r="V36" s="227">
        <v>4</v>
      </c>
      <c r="W36" s="227">
        <v>3</v>
      </c>
    </row>
    <row r="37" spans="1:23" x14ac:dyDescent="0.2">
      <c r="A37" s="227">
        <v>3</v>
      </c>
      <c r="B37" s="227">
        <v>3</v>
      </c>
      <c r="C37" s="227">
        <v>2</v>
      </c>
      <c r="D37" s="227">
        <v>6</v>
      </c>
      <c r="E37" s="227">
        <v>8</v>
      </c>
      <c r="G37" s="227">
        <v>3</v>
      </c>
      <c r="H37" s="227">
        <v>3</v>
      </c>
      <c r="I37" s="227">
        <v>2</v>
      </c>
      <c r="J37" s="227">
        <v>6</v>
      </c>
      <c r="K37" s="227">
        <v>8</v>
      </c>
      <c r="M37" s="227">
        <v>3</v>
      </c>
      <c r="N37" s="227">
        <v>3</v>
      </c>
      <c r="O37" s="227">
        <v>2</v>
      </c>
      <c r="P37" s="227">
        <v>6</v>
      </c>
      <c r="Q37" s="227">
        <v>8</v>
      </c>
      <c r="S37" s="227">
        <v>3</v>
      </c>
      <c r="T37" s="227">
        <v>3</v>
      </c>
      <c r="U37" s="227">
        <v>2</v>
      </c>
      <c r="V37" s="227">
        <v>6</v>
      </c>
      <c r="W37" s="227">
        <v>8</v>
      </c>
    </row>
    <row r="38" spans="1:23" x14ac:dyDescent="0.2">
      <c r="A38" s="227">
        <v>2</v>
      </c>
      <c r="B38" s="227">
        <v>5</v>
      </c>
      <c r="C38" s="227">
        <v>4</v>
      </c>
      <c r="D38" s="227">
        <v>1</v>
      </c>
      <c r="E38" s="227">
        <v>7</v>
      </c>
      <c r="G38" s="227">
        <v>2</v>
      </c>
      <c r="H38" s="227">
        <v>5</v>
      </c>
      <c r="I38" s="227">
        <v>4</v>
      </c>
      <c r="J38" s="227">
        <v>1</v>
      </c>
      <c r="K38" s="227">
        <v>7</v>
      </c>
      <c r="M38" s="227">
        <v>2</v>
      </c>
      <c r="N38" s="227">
        <v>5</v>
      </c>
      <c r="O38" s="227">
        <v>4</v>
      </c>
      <c r="P38" s="227">
        <v>1</v>
      </c>
      <c r="Q38" s="227">
        <v>7</v>
      </c>
      <c r="S38" s="227">
        <v>2</v>
      </c>
      <c r="T38" s="227">
        <v>5</v>
      </c>
      <c r="U38" s="227">
        <v>4</v>
      </c>
      <c r="V38" s="227">
        <v>1</v>
      </c>
      <c r="W38" s="227">
        <v>7</v>
      </c>
    </row>
    <row r="39" spans="1:23" x14ac:dyDescent="0.2">
      <c r="A39" s="227">
        <v>2</v>
      </c>
      <c r="B39" s="227">
        <v>7</v>
      </c>
      <c r="C39" s="227">
        <v>2</v>
      </c>
      <c r="D39" s="227">
        <v>8</v>
      </c>
      <c r="E39" s="227">
        <v>6</v>
      </c>
      <c r="G39" s="227">
        <v>2</v>
      </c>
      <c r="H39" s="227">
        <v>7</v>
      </c>
      <c r="I39" s="227">
        <v>2</v>
      </c>
      <c r="J39" s="227">
        <v>8</v>
      </c>
      <c r="K39" s="227">
        <v>6</v>
      </c>
      <c r="M39" s="227">
        <v>2</v>
      </c>
      <c r="N39" s="227">
        <v>7</v>
      </c>
      <c r="O39" s="227">
        <v>2</v>
      </c>
      <c r="P39" s="227">
        <v>8</v>
      </c>
      <c r="Q39" s="227">
        <v>6</v>
      </c>
      <c r="S39" s="227">
        <v>2</v>
      </c>
      <c r="T39" s="227">
        <v>7</v>
      </c>
      <c r="U39" s="227">
        <v>2</v>
      </c>
      <c r="V39" s="227">
        <v>8</v>
      </c>
      <c r="W39" s="227">
        <v>6</v>
      </c>
    </row>
    <row r="40" spans="1:23" x14ac:dyDescent="0.2">
      <c r="A40" s="227">
        <v>2</v>
      </c>
      <c r="B40" s="227">
        <v>5</v>
      </c>
      <c r="C40" s="227">
        <v>2</v>
      </c>
      <c r="D40" s="227">
        <v>5</v>
      </c>
      <c r="E40" s="227">
        <v>7</v>
      </c>
      <c r="G40" s="227">
        <v>2</v>
      </c>
      <c r="H40" s="227">
        <v>5</v>
      </c>
      <c r="I40" s="227">
        <v>2</v>
      </c>
      <c r="J40" s="227">
        <v>5</v>
      </c>
      <c r="K40" s="227">
        <v>7</v>
      </c>
      <c r="M40" s="227">
        <v>2</v>
      </c>
      <c r="N40" s="227">
        <v>5</v>
      </c>
      <c r="O40" s="227">
        <v>2</v>
      </c>
      <c r="P40" s="227">
        <v>5</v>
      </c>
      <c r="Q40" s="227">
        <v>7</v>
      </c>
      <c r="S40" s="227">
        <v>2</v>
      </c>
      <c r="T40" s="227">
        <v>5</v>
      </c>
      <c r="U40" s="227">
        <v>2</v>
      </c>
      <c r="V40" s="227">
        <v>5</v>
      </c>
      <c r="W40" s="227">
        <v>7</v>
      </c>
    </row>
    <row r="41" spans="1:23" x14ac:dyDescent="0.2">
      <c r="A41" s="227">
        <v>4</v>
      </c>
      <c r="B41" s="227">
        <v>5</v>
      </c>
      <c r="C41" s="227">
        <v>8</v>
      </c>
      <c r="D41" s="227">
        <v>6</v>
      </c>
      <c r="E41" s="227">
        <v>7</v>
      </c>
      <c r="G41" s="227">
        <v>4</v>
      </c>
      <c r="H41" s="227">
        <v>5</v>
      </c>
      <c r="I41" s="227">
        <v>8</v>
      </c>
      <c r="J41" s="227">
        <v>6</v>
      </c>
      <c r="K41" s="227">
        <v>7</v>
      </c>
      <c r="M41" s="227">
        <v>4</v>
      </c>
      <c r="N41" s="227">
        <v>5</v>
      </c>
      <c r="O41" s="227">
        <v>8</v>
      </c>
      <c r="P41" s="227">
        <v>6</v>
      </c>
      <c r="Q41" s="227">
        <v>7</v>
      </c>
      <c r="S41" s="227">
        <v>4</v>
      </c>
      <c r="T41" s="227">
        <v>5</v>
      </c>
      <c r="U41" s="227">
        <v>8</v>
      </c>
      <c r="V41" s="227">
        <v>6</v>
      </c>
      <c r="W41" s="227">
        <v>7</v>
      </c>
    </row>
    <row r="42" spans="1:23" x14ac:dyDescent="0.2">
      <c r="A42" s="227">
        <v>8</v>
      </c>
      <c r="B42" s="227">
        <v>5</v>
      </c>
      <c r="C42" s="227">
        <v>8</v>
      </c>
      <c r="D42" s="227">
        <v>2</v>
      </c>
      <c r="E42" s="227">
        <v>7</v>
      </c>
      <c r="G42" s="227">
        <v>8</v>
      </c>
      <c r="H42" s="227">
        <v>5</v>
      </c>
      <c r="I42" s="227">
        <v>8</v>
      </c>
      <c r="J42" s="227">
        <v>2</v>
      </c>
      <c r="K42" s="227">
        <v>7</v>
      </c>
      <c r="M42" s="227">
        <v>8</v>
      </c>
      <c r="N42" s="227">
        <v>5</v>
      </c>
      <c r="O42" s="227">
        <v>8</v>
      </c>
      <c r="P42" s="227">
        <v>2</v>
      </c>
      <c r="Q42" s="227">
        <v>7</v>
      </c>
      <c r="S42" s="227">
        <v>8</v>
      </c>
      <c r="T42" s="227">
        <v>5</v>
      </c>
      <c r="U42" s="227">
        <v>8</v>
      </c>
      <c r="V42" s="227">
        <v>2</v>
      </c>
      <c r="W42" s="227">
        <v>7</v>
      </c>
    </row>
    <row r="43" spans="1:23" x14ac:dyDescent="0.2">
      <c r="A43" s="227">
        <v>7</v>
      </c>
      <c r="B43" s="227">
        <v>1</v>
      </c>
      <c r="C43" s="227">
        <v>2</v>
      </c>
      <c r="D43" s="227">
        <v>1</v>
      </c>
      <c r="E43" s="227">
        <v>5</v>
      </c>
      <c r="G43" s="227">
        <v>7</v>
      </c>
      <c r="H43" s="227">
        <v>1</v>
      </c>
      <c r="I43" s="227">
        <v>2</v>
      </c>
      <c r="J43" s="227">
        <v>1</v>
      </c>
      <c r="K43" s="227">
        <v>5</v>
      </c>
      <c r="M43" s="227">
        <v>7</v>
      </c>
      <c r="N43" s="227">
        <v>1</v>
      </c>
      <c r="O43" s="227">
        <v>2</v>
      </c>
      <c r="P43" s="227">
        <v>1</v>
      </c>
      <c r="Q43" s="227">
        <v>5</v>
      </c>
      <c r="S43" s="227">
        <v>7</v>
      </c>
      <c r="T43" s="227">
        <v>1</v>
      </c>
      <c r="U43" s="227">
        <v>2</v>
      </c>
      <c r="V43" s="227">
        <v>1</v>
      </c>
      <c r="W43" s="227">
        <v>5</v>
      </c>
    </row>
    <row r="44" spans="1:23" x14ac:dyDescent="0.2">
      <c r="A44" s="227">
        <v>2</v>
      </c>
      <c r="B44" s="227">
        <v>3</v>
      </c>
      <c r="C44" s="227">
        <v>6</v>
      </c>
      <c r="D44" s="227">
        <v>3</v>
      </c>
      <c r="E44" s="227">
        <v>4</v>
      </c>
      <c r="G44" s="227">
        <v>2</v>
      </c>
      <c r="H44" s="227">
        <v>3</v>
      </c>
      <c r="I44" s="227">
        <v>6</v>
      </c>
      <c r="J44" s="227">
        <v>3</v>
      </c>
      <c r="K44" s="227">
        <v>4</v>
      </c>
      <c r="M44" s="227">
        <v>2</v>
      </c>
      <c r="N44" s="227">
        <v>3</v>
      </c>
      <c r="O44" s="227">
        <v>6</v>
      </c>
      <c r="P44" s="227">
        <v>3</v>
      </c>
      <c r="Q44" s="227">
        <v>4</v>
      </c>
      <c r="S44" s="227">
        <v>2</v>
      </c>
      <c r="T44" s="227">
        <v>3</v>
      </c>
      <c r="U44" s="227">
        <v>6</v>
      </c>
      <c r="V44" s="227">
        <v>3</v>
      </c>
      <c r="W44" s="227">
        <v>4</v>
      </c>
    </row>
    <row r="45" spans="1:23" x14ac:dyDescent="0.2">
      <c r="A45" s="227">
        <v>7</v>
      </c>
      <c r="B45" s="227">
        <v>6</v>
      </c>
      <c r="C45" s="227">
        <v>8</v>
      </c>
      <c r="D45" s="227">
        <v>5</v>
      </c>
      <c r="E45" s="227">
        <v>3</v>
      </c>
      <c r="G45" s="227">
        <v>7</v>
      </c>
      <c r="H45" s="227">
        <v>6</v>
      </c>
      <c r="I45" s="227">
        <v>8</v>
      </c>
      <c r="J45" s="227">
        <v>5</v>
      </c>
      <c r="K45" s="227">
        <v>3</v>
      </c>
      <c r="M45" s="227">
        <v>7</v>
      </c>
      <c r="N45" s="227">
        <v>6</v>
      </c>
      <c r="O45" s="227">
        <v>8</v>
      </c>
      <c r="P45" s="227">
        <v>5</v>
      </c>
      <c r="Q45" s="227">
        <v>3</v>
      </c>
      <c r="S45" s="227">
        <v>7</v>
      </c>
      <c r="T45" s="227">
        <v>6</v>
      </c>
      <c r="U45" s="227">
        <v>8</v>
      </c>
      <c r="V45" s="227">
        <v>5</v>
      </c>
      <c r="W45" s="227">
        <v>3</v>
      </c>
    </row>
    <row r="46" spans="1:23" x14ac:dyDescent="0.2">
      <c r="A46" s="227">
        <v>7</v>
      </c>
      <c r="B46" s="227">
        <v>4</v>
      </c>
      <c r="C46" s="227">
        <v>2</v>
      </c>
      <c r="D46" s="227">
        <v>3</v>
      </c>
      <c r="E46" s="227">
        <v>7</v>
      </c>
      <c r="G46" s="227">
        <v>7</v>
      </c>
      <c r="H46" s="227">
        <v>4</v>
      </c>
      <c r="I46" s="227">
        <v>2</v>
      </c>
      <c r="J46" s="227">
        <v>3</v>
      </c>
      <c r="K46" s="227">
        <v>7</v>
      </c>
      <c r="M46" s="227">
        <v>7</v>
      </c>
      <c r="N46" s="227">
        <v>4</v>
      </c>
      <c r="O46" s="227">
        <v>2</v>
      </c>
      <c r="P46" s="227">
        <v>3</v>
      </c>
      <c r="Q46" s="227">
        <v>7</v>
      </c>
      <c r="S46" s="227">
        <v>7</v>
      </c>
      <c r="T46" s="227">
        <v>4</v>
      </c>
      <c r="U46" s="227">
        <v>2</v>
      </c>
      <c r="V46" s="227">
        <v>3</v>
      </c>
      <c r="W46" s="227">
        <v>7</v>
      </c>
    </row>
    <row r="47" spans="1:23" x14ac:dyDescent="0.2">
      <c r="A47" s="227">
        <v>2</v>
      </c>
      <c r="B47" s="227">
        <v>3</v>
      </c>
      <c r="C47" s="227">
        <v>1</v>
      </c>
      <c r="D47" s="227">
        <v>4</v>
      </c>
      <c r="E47" s="227">
        <v>2</v>
      </c>
      <c r="G47" s="227">
        <v>2</v>
      </c>
      <c r="H47" s="227">
        <v>3</v>
      </c>
      <c r="I47" s="227">
        <v>1</v>
      </c>
      <c r="J47" s="227">
        <v>4</v>
      </c>
      <c r="K47" s="227">
        <v>2</v>
      </c>
      <c r="M47" s="227">
        <v>2</v>
      </c>
      <c r="N47" s="227">
        <v>3</v>
      </c>
      <c r="O47" s="227">
        <v>1</v>
      </c>
      <c r="P47" s="227">
        <v>4</v>
      </c>
      <c r="Q47" s="227">
        <v>2</v>
      </c>
      <c r="S47" s="227">
        <v>2</v>
      </c>
      <c r="T47" s="227">
        <v>3</v>
      </c>
      <c r="U47" s="227">
        <v>1</v>
      </c>
      <c r="V47" s="227">
        <v>4</v>
      </c>
      <c r="W47" s="227">
        <v>2</v>
      </c>
    </row>
    <row r="48" spans="1:23" x14ac:dyDescent="0.2">
      <c r="A48" s="227">
        <v>2</v>
      </c>
      <c r="B48" s="227">
        <v>3</v>
      </c>
      <c r="C48" s="227">
        <v>2</v>
      </c>
      <c r="D48" s="227">
        <v>8</v>
      </c>
      <c r="E48" s="227">
        <v>1</v>
      </c>
      <c r="G48" s="227">
        <v>2</v>
      </c>
      <c r="H48" s="227">
        <v>3</v>
      </c>
      <c r="I48" s="227">
        <v>2</v>
      </c>
      <c r="J48" s="227">
        <v>8</v>
      </c>
      <c r="K48" s="227">
        <v>1</v>
      </c>
      <c r="M48" s="227">
        <v>2</v>
      </c>
      <c r="N48" s="227">
        <v>3</v>
      </c>
      <c r="O48" s="227">
        <v>2</v>
      </c>
      <c r="P48" s="227">
        <v>8</v>
      </c>
      <c r="Q48" s="227">
        <v>1</v>
      </c>
      <c r="S48" s="227">
        <v>2</v>
      </c>
      <c r="T48" s="227">
        <v>3</v>
      </c>
      <c r="U48" s="227">
        <v>2</v>
      </c>
      <c r="V48" s="227">
        <v>8</v>
      </c>
      <c r="W48" s="227">
        <v>1</v>
      </c>
    </row>
    <row r="49" spans="1:23" x14ac:dyDescent="0.2">
      <c r="A49" s="227">
        <v>5</v>
      </c>
      <c r="B49" s="227">
        <v>1</v>
      </c>
      <c r="C49" s="227">
        <v>3</v>
      </c>
      <c r="D49" s="227">
        <v>6</v>
      </c>
      <c r="E49" s="227">
        <v>3</v>
      </c>
      <c r="G49" s="227">
        <v>5</v>
      </c>
      <c r="H49" s="227">
        <v>1</v>
      </c>
      <c r="I49" s="227">
        <v>3</v>
      </c>
      <c r="J49" s="227">
        <v>6</v>
      </c>
      <c r="K49" s="227">
        <v>3</v>
      </c>
      <c r="M49" s="227">
        <v>5</v>
      </c>
      <c r="N49" s="227">
        <v>1</v>
      </c>
      <c r="O49" s="227">
        <v>3</v>
      </c>
      <c r="P49" s="227">
        <v>6</v>
      </c>
      <c r="Q49" s="227">
        <v>3</v>
      </c>
      <c r="S49" s="227">
        <v>5</v>
      </c>
      <c r="T49" s="227">
        <v>1</v>
      </c>
      <c r="U49" s="227">
        <v>3</v>
      </c>
      <c r="V49" s="227">
        <v>6</v>
      </c>
      <c r="W49" s="227">
        <v>3</v>
      </c>
    </row>
    <row r="50" spans="1:23" x14ac:dyDescent="0.2">
      <c r="A50" s="227">
        <v>7</v>
      </c>
      <c r="B50" s="227">
        <v>3</v>
      </c>
      <c r="C50" s="227">
        <v>8</v>
      </c>
      <c r="D50" s="227">
        <v>1</v>
      </c>
      <c r="E50" s="227">
        <v>4</v>
      </c>
      <c r="G50" s="227">
        <v>7</v>
      </c>
      <c r="H50" s="227">
        <v>3</v>
      </c>
      <c r="I50" s="227">
        <v>8</v>
      </c>
      <c r="J50" s="227">
        <v>1</v>
      </c>
      <c r="K50" s="227">
        <v>4</v>
      </c>
      <c r="M50" s="227">
        <v>7</v>
      </c>
      <c r="N50" s="227">
        <v>3</v>
      </c>
      <c r="O50" s="227">
        <v>8</v>
      </c>
      <c r="P50" s="227">
        <v>1</v>
      </c>
      <c r="Q50" s="227">
        <v>4</v>
      </c>
      <c r="S50" s="227">
        <v>7</v>
      </c>
      <c r="T50" s="227">
        <v>3</v>
      </c>
      <c r="U50" s="227">
        <v>8</v>
      </c>
      <c r="V50" s="227">
        <v>1</v>
      </c>
      <c r="W50" s="227">
        <v>4</v>
      </c>
    </row>
    <row r="51" spans="1:23" x14ac:dyDescent="0.2">
      <c r="A51" s="227">
        <v>7</v>
      </c>
      <c r="B51" s="227">
        <v>3</v>
      </c>
      <c r="C51" s="227">
        <v>4</v>
      </c>
      <c r="D51" s="227">
        <v>2</v>
      </c>
      <c r="E51" s="227">
        <v>2</v>
      </c>
      <c r="G51" s="227">
        <v>7</v>
      </c>
      <c r="H51" s="227">
        <v>3</v>
      </c>
      <c r="I51" s="227">
        <v>4</v>
      </c>
      <c r="J51" s="227">
        <v>2</v>
      </c>
      <c r="K51" s="227">
        <v>2</v>
      </c>
      <c r="M51" s="227">
        <v>7</v>
      </c>
      <c r="N51" s="227">
        <v>3</v>
      </c>
      <c r="O51" s="227">
        <v>4</v>
      </c>
      <c r="P51" s="227">
        <v>2</v>
      </c>
      <c r="Q51" s="227">
        <v>2</v>
      </c>
      <c r="S51" s="227">
        <v>7</v>
      </c>
      <c r="T51" s="227">
        <v>3</v>
      </c>
      <c r="U51" s="227">
        <v>4</v>
      </c>
      <c r="V51" s="227">
        <v>2</v>
      </c>
      <c r="W51" s="227">
        <v>2</v>
      </c>
    </row>
    <row r="52" spans="1:23" x14ac:dyDescent="0.2">
      <c r="A52" s="227">
        <v>8</v>
      </c>
      <c r="B52" s="227">
        <v>7</v>
      </c>
      <c r="C52" s="227">
        <v>6</v>
      </c>
      <c r="D52" s="227">
        <v>6</v>
      </c>
      <c r="E52" s="227">
        <v>6</v>
      </c>
      <c r="G52" s="227">
        <v>8</v>
      </c>
      <c r="H52" s="227">
        <v>7</v>
      </c>
      <c r="I52" s="227">
        <v>6</v>
      </c>
      <c r="J52" s="227">
        <v>6</v>
      </c>
      <c r="K52" s="227">
        <v>6</v>
      </c>
      <c r="M52" s="227">
        <v>8</v>
      </c>
      <c r="N52" s="227">
        <v>7</v>
      </c>
      <c r="O52" s="227">
        <v>6</v>
      </c>
      <c r="P52" s="227">
        <v>6</v>
      </c>
      <c r="Q52" s="227">
        <v>6</v>
      </c>
      <c r="S52" s="227">
        <v>8</v>
      </c>
      <c r="T52" s="227">
        <v>7</v>
      </c>
      <c r="U52" s="227">
        <v>6</v>
      </c>
      <c r="V52" s="227">
        <v>6</v>
      </c>
      <c r="W52" s="227">
        <v>6</v>
      </c>
    </row>
    <row r="53" spans="1:23" x14ac:dyDescent="0.2">
      <c r="A53" s="227">
        <v>8</v>
      </c>
      <c r="B53" s="227">
        <v>6</v>
      </c>
      <c r="C53" s="227">
        <v>2</v>
      </c>
      <c r="D53" s="227">
        <v>2</v>
      </c>
      <c r="E53" s="227">
        <v>7</v>
      </c>
      <c r="G53" s="227">
        <v>8</v>
      </c>
      <c r="H53" s="227">
        <v>6</v>
      </c>
      <c r="I53" s="227">
        <v>2</v>
      </c>
      <c r="J53" s="227">
        <v>2</v>
      </c>
      <c r="K53" s="227">
        <v>7</v>
      </c>
      <c r="M53" s="227">
        <v>8</v>
      </c>
      <c r="N53" s="227">
        <v>6</v>
      </c>
      <c r="O53" s="227">
        <v>2</v>
      </c>
      <c r="P53" s="227">
        <v>2</v>
      </c>
      <c r="Q53" s="227">
        <v>7</v>
      </c>
      <c r="S53" s="227">
        <v>8</v>
      </c>
      <c r="T53" s="227">
        <v>6</v>
      </c>
      <c r="U53" s="227">
        <v>2</v>
      </c>
      <c r="V53" s="227">
        <v>2</v>
      </c>
      <c r="W53" s="227">
        <v>7</v>
      </c>
    </row>
    <row r="54" spans="1:23" x14ac:dyDescent="0.2">
      <c r="A54" s="227">
        <v>5</v>
      </c>
      <c r="B54" s="227">
        <v>2</v>
      </c>
      <c r="C54" s="227">
        <v>6</v>
      </c>
      <c r="D54" s="227">
        <v>2</v>
      </c>
      <c r="E54" s="227">
        <v>7</v>
      </c>
      <c r="G54" s="227">
        <v>5</v>
      </c>
      <c r="H54" s="227">
        <v>2</v>
      </c>
      <c r="I54" s="227">
        <v>6</v>
      </c>
      <c r="J54" s="227">
        <v>2</v>
      </c>
      <c r="K54" s="227">
        <v>7</v>
      </c>
      <c r="M54" s="227">
        <v>5</v>
      </c>
      <c r="N54" s="227">
        <v>2</v>
      </c>
      <c r="O54" s="227">
        <v>6</v>
      </c>
      <c r="P54" s="227">
        <v>2</v>
      </c>
      <c r="Q54" s="227">
        <v>7</v>
      </c>
      <c r="S54" s="227">
        <v>5</v>
      </c>
      <c r="T54" s="227">
        <v>2</v>
      </c>
      <c r="U54" s="227">
        <v>6</v>
      </c>
      <c r="V54" s="227">
        <v>2</v>
      </c>
      <c r="W54" s="227">
        <v>7</v>
      </c>
    </row>
    <row r="55" spans="1:23" x14ac:dyDescent="0.2">
      <c r="A55" s="227">
        <v>3</v>
      </c>
      <c r="B55" s="227">
        <v>1</v>
      </c>
      <c r="C55" s="227">
        <v>8</v>
      </c>
      <c r="D55" s="227">
        <v>6</v>
      </c>
      <c r="E55" s="227">
        <v>6</v>
      </c>
      <c r="G55" s="227">
        <v>3</v>
      </c>
      <c r="H55" s="227">
        <v>1</v>
      </c>
      <c r="I55" s="227">
        <v>8</v>
      </c>
      <c r="J55" s="227">
        <v>6</v>
      </c>
      <c r="K55" s="227">
        <v>6</v>
      </c>
      <c r="M55" s="227">
        <v>3</v>
      </c>
      <c r="N55" s="227">
        <v>1</v>
      </c>
      <c r="O55" s="227">
        <v>8</v>
      </c>
      <c r="P55" s="227">
        <v>6</v>
      </c>
      <c r="Q55" s="227">
        <v>6</v>
      </c>
      <c r="S55" s="227">
        <v>3</v>
      </c>
      <c r="T55" s="227">
        <v>1</v>
      </c>
      <c r="U55" s="227">
        <v>8</v>
      </c>
      <c r="V55" s="227">
        <v>6</v>
      </c>
      <c r="W55" s="227">
        <v>6</v>
      </c>
    </row>
    <row r="56" spans="1:23" x14ac:dyDescent="0.2">
      <c r="A56" s="227">
        <v>8</v>
      </c>
      <c r="B56" s="227">
        <v>5</v>
      </c>
      <c r="C56" s="227">
        <v>6</v>
      </c>
      <c r="D56" s="227">
        <v>7</v>
      </c>
      <c r="E56" s="227">
        <v>5</v>
      </c>
      <c r="G56" s="227">
        <v>8</v>
      </c>
      <c r="H56" s="227">
        <v>5</v>
      </c>
      <c r="I56" s="227">
        <v>6</v>
      </c>
      <c r="J56" s="227">
        <v>7</v>
      </c>
      <c r="K56" s="227">
        <v>5</v>
      </c>
      <c r="M56" s="227">
        <v>8</v>
      </c>
      <c r="N56" s="227">
        <v>5</v>
      </c>
      <c r="O56" s="227">
        <v>6</v>
      </c>
      <c r="P56" s="227">
        <v>7</v>
      </c>
      <c r="Q56" s="227">
        <v>5</v>
      </c>
      <c r="S56" s="227">
        <v>8</v>
      </c>
      <c r="T56" s="227">
        <v>5</v>
      </c>
      <c r="U56" s="227">
        <v>6</v>
      </c>
      <c r="V56" s="227">
        <v>7</v>
      </c>
      <c r="W56" s="227">
        <v>5</v>
      </c>
    </row>
    <row r="57" spans="1:23" x14ac:dyDescent="0.2">
      <c r="A57" s="227">
        <v>3</v>
      </c>
      <c r="B57" s="227">
        <v>7</v>
      </c>
      <c r="C57" s="227">
        <v>4</v>
      </c>
      <c r="D57" s="227">
        <v>1</v>
      </c>
      <c r="E57" s="227">
        <v>4</v>
      </c>
      <c r="G57" s="227">
        <v>3</v>
      </c>
      <c r="H57" s="227">
        <v>7</v>
      </c>
      <c r="I57" s="227">
        <v>4</v>
      </c>
      <c r="J57" s="227">
        <v>1</v>
      </c>
      <c r="K57" s="227">
        <v>4</v>
      </c>
      <c r="M57" s="227">
        <v>3</v>
      </c>
      <c r="N57" s="227">
        <v>7</v>
      </c>
      <c r="O57" s="227">
        <v>4</v>
      </c>
      <c r="P57" s="227">
        <v>1</v>
      </c>
      <c r="Q57" s="227">
        <v>4</v>
      </c>
      <c r="S57" s="227">
        <v>3</v>
      </c>
      <c r="T57" s="227">
        <v>7</v>
      </c>
      <c r="U57" s="227">
        <v>4</v>
      </c>
      <c r="V57" s="227">
        <v>1</v>
      </c>
      <c r="W57" s="227">
        <v>4</v>
      </c>
    </row>
    <row r="58" spans="1:23" x14ac:dyDescent="0.2">
      <c r="A58" s="227">
        <v>8</v>
      </c>
      <c r="B58" s="227">
        <v>6</v>
      </c>
      <c r="C58" s="227">
        <v>2</v>
      </c>
      <c r="D58" s="227">
        <v>8</v>
      </c>
      <c r="E58" s="227">
        <v>6</v>
      </c>
      <c r="G58" s="227">
        <v>8</v>
      </c>
      <c r="H58" s="227">
        <v>6</v>
      </c>
      <c r="I58" s="227">
        <v>2</v>
      </c>
      <c r="J58" s="227">
        <v>8</v>
      </c>
      <c r="K58" s="227">
        <v>6</v>
      </c>
      <c r="M58" s="227">
        <v>8</v>
      </c>
      <c r="N58" s="227">
        <v>6</v>
      </c>
      <c r="O58" s="227">
        <v>2</v>
      </c>
      <c r="P58" s="227">
        <v>8</v>
      </c>
      <c r="Q58" s="227">
        <v>6</v>
      </c>
      <c r="S58" s="227">
        <v>8</v>
      </c>
      <c r="T58" s="227">
        <v>6</v>
      </c>
      <c r="U58" s="227">
        <v>2</v>
      </c>
      <c r="V58" s="227">
        <v>8</v>
      </c>
      <c r="W58" s="227">
        <v>6</v>
      </c>
    </row>
    <row r="59" spans="1:23" x14ac:dyDescent="0.2">
      <c r="A59" s="227">
        <v>3</v>
      </c>
      <c r="B59" s="227">
        <v>5</v>
      </c>
      <c r="C59" s="227">
        <v>1</v>
      </c>
      <c r="D59" s="227">
        <v>1</v>
      </c>
      <c r="E59" s="227">
        <v>5</v>
      </c>
      <c r="G59" s="227">
        <v>3</v>
      </c>
      <c r="H59" s="227">
        <v>5</v>
      </c>
      <c r="I59" s="227">
        <v>1</v>
      </c>
      <c r="J59" s="227">
        <v>1</v>
      </c>
      <c r="K59" s="227">
        <v>5</v>
      </c>
      <c r="M59" s="227">
        <v>3</v>
      </c>
      <c r="N59" s="227">
        <v>5</v>
      </c>
      <c r="O59" s="227">
        <v>1</v>
      </c>
      <c r="P59" s="227">
        <v>1</v>
      </c>
      <c r="Q59" s="227">
        <v>5</v>
      </c>
      <c r="S59" s="227">
        <v>3</v>
      </c>
      <c r="T59" s="227">
        <v>5</v>
      </c>
      <c r="U59" s="227">
        <v>1</v>
      </c>
      <c r="V59" s="227">
        <v>1</v>
      </c>
      <c r="W59" s="227">
        <v>5</v>
      </c>
    </row>
    <row r="60" spans="1:23" x14ac:dyDescent="0.2">
      <c r="A60" s="227">
        <v>2</v>
      </c>
      <c r="B60" s="227">
        <v>8</v>
      </c>
      <c r="C60" s="227">
        <v>4</v>
      </c>
      <c r="D60" s="227">
        <v>7</v>
      </c>
      <c r="E60" s="227">
        <v>5</v>
      </c>
      <c r="G60" s="227">
        <v>2</v>
      </c>
      <c r="H60" s="227">
        <v>8</v>
      </c>
      <c r="I60" s="227">
        <v>4</v>
      </c>
      <c r="J60" s="227">
        <v>7</v>
      </c>
      <c r="K60" s="227">
        <v>5</v>
      </c>
      <c r="M60" s="227">
        <v>2</v>
      </c>
      <c r="N60" s="227">
        <v>8</v>
      </c>
      <c r="O60" s="227">
        <v>4</v>
      </c>
      <c r="P60" s="227">
        <v>7</v>
      </c>
      <c r="Q60" s="227">
        <v>5</v>
      </c>
      <c r="S60" s="227">
        <v>2</v>
      </c>
      <c r="T60" s="227">
        <v>8</v>
      </c>
      <c r="U60" s="227">
        <v>4</v>
      </c>
      <c r="V60" s="227">
        <v>7</v>
      </c>
      <c r="W60" s="227">
        <v>5</v>
      </c>
    </row>
    <row r="61" spans="1:23" x14ac:dyDescent="0.2">
      <c r="A61" s="227">
        <v>5</v>
      </c>
      <c r="B61" s="227">
        <v>6</v>
      </c>
      <c r="C61" s="227">
        <v>4</v>
      </c>
      <c r="D61" s="227">
        <v>6</v>
      </c>
      <c r="E61" s="227">
        <v>1</v>
      </c>
      <c r="G61" s="227">
        <v>5</v>
      </c>
      <c r="H61" s="227">
        <v>6</v>
      </c>
      <c r="I61" s="227">
        <v>4</v>
      </c>
      <c r="J61" s="227">
        <v>6</v>
      </c>
      <c r="K61" s="227">
        <v>1</v>
      </c>
      <c r="M61" s="227">
        <v>5</v>
      </c>
      <c r="N61" s="227">
        <v>6</v>
      </c>
      <c r="O61" s="227">
        <v>4</v>
      </c>
      <c r="P61" s="227">
        <v>6</v>
      </c>
      <c r="Q61" s="227">
        <v>1</v>
      </c>
      <c r="S61" s="227">
        <v>5</v>
      </c>
      <c r="T61" s="227">
        <v>6</v>
      </c>
      <c r="U61" s="227">
        <v>4</v>
      </c>
      <c r="V61" s="227">
        <v>6</v>
      </c>
      <c r="W61" s="227">
        <v>1</v>
      </c>
    </row>
    <row r="62" spans="1:23" x14ac:dyDescent="0.2">
      <c r="A62" s="227">
        <v>7</v>
      </c>
      <c r="B62" s="227">
        <v>5</v>
      </c>
      <c r="C62" s="227">
        <v>5</v>
      </c>
      <c r="D62" s="227">
        <v>8</v>
      </c>
      <c r="E62" s="227">
        <v>2</v>
      </c>
      <c r="G62" s="227">
        <v>7</v>
      </c>
      <c r="H62" s="227">
        <v>5</v>
      </c>
      <c r="I62" s="227">
        <v>5</v>
      </c>
      <c r="J62" s="227">
        <v>8</v>
      </c>
      <c r="K62" s="227">
        <v>2</v>
      </c>
      <c r="M62" s="227">
        <v>7</v>
      </c>
      <c r="N62" s="227">
        <v>5</v>
      </c>
      <c r="O62" s="227">
        <v>5</v>
      </c>
      <c r="P62" s="227">
        <v>8</v>
      </c>
      <c r="Q62" s="227">
        <v>2</v>
      </c>
      <c r="S62" s="227">
        <v>7</v>
      </c>
      <c r="T62" s="227">
        <v>5</v>
      </c>
      <c r="U62" s="227">
        <v>5</v>
      </c>
      <c r="V62" s="227">
        <v>8</v>
      </c>
      <c r="W62" s="227">
        <v>2</v>
      </c>
    </row>
    <row r="63" spans="1:23" x14ac:dyDescent="0.2">
      <c r="A63" s="227">
        <v>8</v>
      </c>
      <c r="B63" s="227">
        <v>5</v>
      </c>
      <c r="C63" s="227">
        <v>6</v>
      </c>
      <c r="D63" s="227">
        <v>5</v>
      </c>
      <c r="E63" s="227">
        <v>6</v>
      </c>
      <c r="G63" s="227">
        <v>8</v>
      </c>
      <c r="H63" s="227">
        <v>5</v>
      </c>
      <c r="I63" s="227">
        <v>6</v>
      </c>
      <c r="J63" s="227">
        <v>5</v>
      </c>
      <c r="K63" s="227">
        <v>6</v>
      </c>
      <c r="M63" s="227">
        <v>8</v>
      </c>
      <c r="N63" s="227">
        <v>5</v>
      </c>
      <c r="O63" s="227">
        <v>6</v>
      </c>
      <c r="P63" s="227">
        <v>5</v>
      </c>
      <c r="Q63" s="227">
        <v>6</v>
      </c>
      <c r="S63" s="227">
        <v>8</v>
      </c>
      <c r="T63" s="227">
        <v>5</v>
      </c>
      <c r="U63" s="227">
        <v>6</v>
      </c>
      <c r="V63" s="227">
        <v>5</v>
      </c>
      <c r="W63" s="227">
        <v>6</v>
      </c>
    </row>
    <row r="64" spans="1:23" x14ac:dyDescent="0.2">
      <c r="A64" s="227">
        <v>3</v>
      </c>
      <c r="B64" s="227">
        <v>5</v>
      </c>
      <c r="C64" s="227">
        <v>4</v>
      </c>
      <c r="D64" s="227">
        <v>7</v>
      </c>
      <c r="E64" s="227">
        <v>8</v>
      </c>
      <c r="G64" s="227">
        <v>3</v>
      </c>
      <c r="H64" s="227">
        <v>5</v>
      </c>
      <c r="I64" s="227">
        <v>4</v>
      </c>
      <c r="J64" s="227">
        <v>7</v>
      </c>
      <c r="K64" s="227">
        <v>8</v>
      </c>
      <c r="M64" s="227">
        <v>3</v>
      </c>
      <c r="N64" s="227">
        <v>5</v>
      </c>
      <c r="O64" s="227">
        <v>4</v>
      </c>
      <c r="P64" s="227">
        <v>7</v>
      </c>
      <c r="Q64" s="227">
        <v>8</v>
      </c>
      <c r="S64" s="227">
        <v>3</v>
      </c>
      <c r="T64" s="227">
        <v>5</v>
      </c>
      <c r="U64" s="227">
        <v>4</v>
      </c>
      <c r="V64" s="227">
        <v>7</v>
      </c>
      <c r="W64" s="227">
        <v>8</v>
      </c>
    </row>
    <row r="65" spans="1:23" x14ac:dyDescent="0.2">
      <c r="A65" s="227">
        <v>2</v>
      </c>
      <c r="B65" s="227">
        <v>1</v>
      </c>
      <c r="C65" s="227">
        <v>6</v>
      </c>
      <c r="D65" s="227">
        <v>6</v>
      </c>
      <c r="E65" s="227">
        <v>5</v>
      </c>
      <c r="G65" s="227">
        <v>2</v>
      </c>
      <c r="H65" s="227">
        <v>1</v>
      </c>
      <c r="I65" s="227">
        <v>6</v>
      </c>
      <c r="J65" s="227">
        <v>6</v>
      </c>
      <c r="K65" s="227">
        <v>5</v>
      </c>
      <c r="M65" s="227">
        <v>2</v>
      </c>
      <c r="N65" s="227">
        <v>1</v>
      </c>
      <c r="O65" s="227">
        <v>6</v>
      </c>
      <c r="P65" s="227">
        <v>6</v>
      </c>
      <c r="Q65" s="227">
        <v>5</v>
      </c>
      <c r="S65" s="227">
        <v>2</v>
      </c>
      <c r="T65" s="227">
        <v>1</v>
      </c>
      <c r="U65" s="227">
        <v>6</v>
      </c>
      <c r="V65" s="227">
        <v>6</v>
      </c>
      <c r="W65" s="227">
        <v>5</v>
      </c>
    </row>
    <row r="66" spans="1:23" x14ac:dyDescent="0.2">
      <c r="A66" s="227">
        <v>7</v>
      </c>
      <c r="B66" s="227">
        <v>1</v>
      </c>
      <c r="C66" s="227">
        <v>6</v>
      </c>
      <c r="D66" s="227">
        <v>7</v>
      </c>
      <c r="E66" s="227">
        <v>6</v>
      </c>
      <c r="G66" s="227">
        <v>7</v>
      </c>
      <c r="H66" s="227">
        <v>1</v>
      </c>
      <c r="I66" s="227">
        <v>6</v>
      </c>
      <c r="J66" s="227">
        <v>7</v>
      </c>
      <c r="K66" s="227">
        <v>6</v>
      </c>
      <c r="M66" s="227">
        <v>7</v>
      </c>
      <c r="N66" s="227">
        <v>1</v>
      </c>
      <c r="O66" s="227">
        <v>6</v>
      </c>
      <c r="P66" s="227">
        <v>7</v>
      </c>
      <c r="Q66" s="227">
        <v>6</v>
      </c>
      <c r="S66" s="227">
        <v>7</v>
      </c>
      <c r="T66" s="227">
        <v>1</v>
      </c>
      <c r="U66" s="227">
        <v>6</v>
      </c>
      <c r="V66" s="227">
        <v>7</v>
      </c>
      <c r="W66" s="227">
        <v>6</v>
      </c>
    </row>
    <row r="67" spans="1:23" x14ac:dyDescent="0.2">
      <c r="A67" s="227">
        <v>5</v>
      </c>
      <c r="B67" s="227">
        <v>5</v>
      </c>
      <c r="C67" s="227">
        <v>8</v>
      </c>
      <c r="D67" s="227">
        <v>4</v>
      </c>
      <c r="E67" s="227">
        <v>1</v>
      </c>
      <c r="G67" s="227">
        <v>5</v>
      </c>
      <c r="H67" s="227">
        <v>5</v>
      </c>
      <c r="I67" s="227">
        <v>8</v>
      </c>
      <c r="J67" s="227">
        <v>4</v>
      </c>
      <c r="K67" s="227">
        <v>1</v>
      </c>
      <c r="M67" s="227">
        <v>5</v>
      </c>
      <c r="N67" s="227">
        <v>5</v>
      </c>
      <c r="O67" s="227">
        <v>8</v>
      </c>
      <c r="P67" s="227">
        <v>4</v>
      </c>
      <c r="Q67" s="227">
        <v>1</v>
      </c>
      <c r="S67" s="227">
        <v>5</v>
      </c>
      <c r="T67" s="227">
        <v>5</v>
      </c>
      <c r="U67" s="227">
        <v>8</v>
      </c>
      <c r="V67" s="227">
        <v>4</v>
      </c>
      <c r="W67" s="227">
        <v>1</v>
      </c>
    </row>
    <row r="68" spans="1:23" x14ac:dyDescent="0.2">
      <c r="A68" s="227">
        <v>2</v>
      </c>
      <c r="B68" s="227">
        <v>3</v>
      </c>
      <c r="C68" s="227">
        <v>6</v>
      </c>
      <c r="D68" s="227">
        <v>8</v>
      </c>
      <c r="E68" s="227">
        <v>7</v>
      </c>
      <c r="G68" s="227">
        <v>2</v>
      </c>
      <c r="H68" s="227">
        <v>3</v>
      </c>
      <c r="I68" s="227">
        <v>6</v>
      </c>
      <c r="J68" s="227">
        <v>8</v>
      </c>
      <c r="K68" s="227">
        <v>7</v>
      </c>
      <c r="M68" s="227">
        <v>2</v>
      </c>
      <c r="N68" s="227">
        <v>3</v>
      </c>
      <c r="O68" s="227">
        <v>6</v>
      </c>
      <c r="P68" s="227">
        <v>8</v>
      </c>
      <c r="Q68" s="227">
        <v>7</v>
      </c>
      <c r="S68" s="227">
        <v>2</v>
      </c>
      <c r="T68" s="227">
        <v>3</v>
      </c>
      <c r="U68" s="227">
        <v>6</v>
      </c>
      <c r="V68" s="227">
        <v>8</v>
      </c>
      <c r="W68" s="227">
        <v>7</v>
      </c>
    </row>
    <row r="69" spans="1:23" x14ac:dyDescent="0.2">
      <c r="A69" s="227">
        <v>2</v>
      </c>
      <c r="B69" s="227">
        <v>6</v>
      </c>
      <c r="C69" s="227">
        <v>2</v>
      </c>
      <c r="D69" s="227">
        <v>5</v>
      </c>
      <c r="E69" s="227">
        <v>5</v>
      </c>
      <c r="G69" s="227">
        <v>2</v>
      </c>
      <c r="H69" s="227">
        <v>6</v>
      </c>
      <c r="I69" s="227">
        <v>2</v>
      </c>
      <c r="J69" s="227">
        <v>5</v>
      </c>
      <c r="K69" s="227">
        <v>5</v>
      </c>
      <c r="M69" s="227">
        <v>2</v>
      </c>
      <c r="N69" s="227">
        <v>6</v>
      </c>
      <c r="O69" s="227">
        <v>2</v>
      </c>
      <c r="P69" s="227">
        <v>5</v>
      </c>
      <c r="Q69" s="227">
        <v>5</v>
      </c>
      <c r="S69" s="227">
        <v>2</v>
      </c>
      <c r="T69" s="227">
        <v>6</v>
      </c>
      <c r="U69" s="227">
        <v>2</v>
      </c>
      <c r="V69" s="227">
        <v>5</v>
      </c>
      <c r="W69" s="227">
        <v>5</v>
      </c>
    </row>
    <row r="70" spans="1:23" x14ac:dyDescent="0.2">
      <c r="A70" s="227">
        <v>5</v>
      </c>
      <c r="B70" s="227">
        <v>7</v>
      </c>
      <c r="C70" s="227">
        <v>7</v>
      </c>
      <c r="D70" s="227">
        <v>2</v>
      </c>
      <c r="E70" s="227">
        <v>4</v>
      </c>
      <c r="G70" s="227">
        <v>5</v>
      </c>
      <c r="H70" s="227">
        <v>7</v>
      </c>
      <c r="I70" s="227">
        <v>7</v>
      </c>
      <c r="J70" s="227">
        <v>2</v>
      </c>
      <c r="K70" s="227">
        <v>4</v>
      </c>
      <c r="M70" s="227">
        <v>5</v>
      </c>
      <c r="N70" s="227">
        <v>7</v>
      </c>
      <c r="O70" s="227">
        <v>7</v>
      </c>
      <c r="P70" s="227">
        <v>2</v>
      </c>
      <c r="Q70" s="227">
        <v>4</v>
      </c>
      <c r="S70" s="227">
        <v>5</v>
      </c>
      <c r="T70" s="227">
        <v>7</v>
      </c>
      <c r="U70" s="227">
        <v>7</v>
      </c>
      <c r="V70" s="227">
        <v>2</v>
      </c>
      <c r="W70" s="227">
        <v>4</v>
      </c>
    </row>
    <row r="71" spans="1:23" x14ac:dyDescent="0.2">
      <c r="A71" s="227">
        <v>2</v>
      </c>
      <c r="B71" s="227">
        <v>6</v>
      </c>
      <c r="C71" s="227">
        <v>4</v>
      </c>
      <c r="D71" s="227">
        <v>4</v>
      </c>
      <c r="E71" s="227">
        <v>3</v>
      </c>
      <c r="G71" s="227">
        <v>2</v>
      </c>
      <c r="H71" s="227">
        <v>6</v>
      </c>
      <c r="I71" s="227">
        <v>4</v>
      </c>
      <c r="J71" s="227">
        <v>4</v>
      </c>
      <c r="K71" s="227">
        <v>3</v>
      </c>
      <c r="M71" s="227">
        <v>2</v>
      </c>
      <c r="N71" s="227">
        <v>6</v>
      </c>
      <c r="O71" s="227">
        <v>4</v>
      </c>
      <c r="P71" s="227">
        <v>4</v>
      </c>
      <c r="Q71" s="227">
        <v>3</v>
      </c>
      <c r="S71" s="227">
        <v>2</v>
      </c>
      <c r="T71" s="227">
        <v>6</v>
      </c>
      <c r="U71" s="227">
        <v>4</v>
      </c>
      <c r="V71" s="227">
        <v>4</v>
      </c>
      <c r="W71" s="227">
        <v>3</v>
      </c>
    </row>
    <row r="72" spans="1:23" x14ac:dyDescent="0.2">
      <c r="A72" s="227">
        <v>7</v>
      </c>
      <c r="B72" s="227">
        <v>3</v>
      </c>
      <c r="C72" s="227">
        <v>6</v>
      </c>
      <c r="D72" s="227">
        <v>2</v>
      </c>
      <c r="E72" s="227">
        <v>6</v>
      </c>
      <c r="G72" s="227">
        <v>7</v>
      </c>
      <c r="H72" s="227">
        <v>3</v>
      </c>
      <c r="I72" s="227">
        <v>6</v>
      </c>
      <c r="J72" s="227">
        <v>2</v>
      </c>
      <c r="K72" s="227">
        <v>6</v>
      </c>
      <c r="M72" s="227">
        <v>7</v>
      </c>
      <c r="N72" s="227">
        <v>3</v>
      </c>
      <c r="O72" s="227">
        <v>6</v>
      </c>
      <c r="P72" s="227">
        <v>2</v>
      </c>
      <c r="Q72" s="227">
        <v>6</v>
      </c>
      <c r="S72" s="227">
        <v>7</v>
      </c>
      <c r="T72" s="227">
        <v>3</v>
      </c>
      <c r="U72" s="227">
        <v>6</v>
      </c>
      <c r="V72" s="227">
        <v>2</v>
      </c>
      <c r="W72" s="227">
        <v>6</v>
      </c>
    </row>
    <row r="73" spans="1:23" x14ac:dyDescent="0.2">
      <c r="A73" s="227">
        <v>2</v>
      </c>
      <c r="B73" s="227">
        <v>3</v>
      </c>
      <c r="C73" s="227">
        <v>6</v>
      </c>
      <c r="D73" s="227">
        <v>5</v>
      </c>
      <c r="E73" s="227">
        <v>7</v>
      </c>
      <c r="G73" s="227">
        <v>2</v>
      </c>
      <c r="H73" s="227">
        <v>3</v>
      </c>
      <c r="I73" s="227">
        <v>6</v>
      </c>
      <c r="J73" s="227">
        <v>5</v>
      </c>
      <c r="K73" s="227">
        <v>7</v>
      </c>
      <c r="M73" s="227">
        <v>2</v>
      </c>
      <c r="N73" s="227">
        <v>3</v>
      </c>
      <c r="O73" s="227">
        <v>6</v>
      </c>
      <c r="P73" s="227">
        <v>5</v>
      </c>
      <c r="Q73" s="227">
        <v>7</v>
      </c>
      <c r="S73" s="227">
        <v>2</v>
      </c>
      <c r="T73" s="227">
        <v>3</v>
      </c>
      <c r="U73" s="227">
        <v>6</v>
      </c>
      <c r="V73" s="227">
        <v>5</v>
      </c>
      <c r="W73" s="227">
        <v>7</v>
      </c>
    </row>
    <row r="74" spans="1:23" x14ac:dyDescent="0.2">
      <c r="A74" s="227">
        <v>3</v>
      </c>
      <c r="B74" s="227">
        <v>7</v>
      </c>
      <c r="C74" s="227">
        <v>6</v>
      </c>
      <c r="D74" s="227">
        <v>7</v>
      </c>
      <c r="E74" s="227">
        <v>6</v>
      </c>
      <c r="G74" s="227">
        <v>3</v>
      </c>
      <c r="H74" s="227">
        <v>7</v>
      </c>
      <c r="I74" s="227">
        <v>6</v>
      </c>
      <c r="J74" s="227">
        <v>7</v>
      </c>
      <c r="K74" s="227">
        <v>6</v>
      </c>
      <c r="M74" s="227">
        <v>3</v>
      </c>
      <c r="N74" s="227">
        <v>7</v>
      </c>
      <c r="O74" s="227">
        <v>6</v>
      </c>
      <c r="P74" s="227">
        <v>7</v>
      </c>
      <c r="Q74" s="227">
        <v>6</v>
      </c>
      <c r="S74" s="227">
        <v>3</v>
      </c>
      <c r="T74" s="227">
        <v>7</v>
      </c>
      <c r="U74" s="227">
        <v>6</v>
      </c>
      <c r="V74" s="227">
        <v>7</v>
      </c>
      <c r="W74" s="227">
        <v>6</v>
      </c>
    </row>
    <row r="75" spans="1:23" x14ac:dyDescent="0.2">
      <c r="A75" s="227">
        <v>5</v>
      </c>
      <c r="B75" s="227">
        <v>5</v>
      </c>
      <c r="C75" s="227">
        <v>6</v>
      </c>
      <c r="D75" s="227">
        <v>2</v>
      </c>
      <c r="E75" s="227">
        <v>7</v>
      </c>
      <c r="G75" s="227">
        <v>5</v>
      </c>
      <c r="H75" s="227">
        <v>5</v>
      </c>
      <c r="I75" s="227">
        <v>6</v>
      </c>
      <c r="J75" s="227">
        <v>2</v>
      </c>
      <c r="K75" s="227">
        <v>7</v>
      </c>
      <c r="M75" s="227">
        <v>5</v>
      </c>
      <c r="N75" s="227">
        <v>5</v>
      </c>
      <c r="O75" s="227">
        <v>6</v>
      </c>
      <c r="P75" s="227">
        <v>2</v>
      </c>
      <c r="Q75" s="227">
        <v>7</v>
      </c>
      <c r="S75" s="227">
        <v>5</v>
      </c>
      <c r="T75" s="227">
        <v>5</v>
      </c>
      <c r="U75" s="227">
        <v>6</v>
      </c>
      <c r="V75" s="227">
        <v>2</v>
      </c>
      <c r="W75" s="227">
        <v>7</v>
      </c>
    </row>
    <row r="76" spans="1:23" x14ac:dyDescent="0.2">
      <c r="A76" s="227">
        <v>8</v>
      </c>
      <c r="B76" s="227">
        <v>5</v>
      </c>
      <c r="C76" s="227">
        <v>4</v>
      </c>
      <c r="D76" s="227">
        <v>7</v>
      </c>
      <c r="E76" s="227">
        <v>4</v>
      </c>
      <c r="G76" s="227">
        <v>8</v>
      </c>
      <c r="H76" s="227">
        <v>5</v>
      </c>
      <c r="I76" s="227">
        <v>4</v>
      </c>
      <c r="J76" s="227">
        <v>7</v>
      </c>
      <c r="K76" s="227">
        <v>4</v>
      </c>
      <c r="M76" s="227">
        <v>8</v>
      </c>
      <c r="N76" s="227">
        <v>5</v>
      </c>
      <c r="O76" s="227">
        <v>4</v>
      </c>
      <c r="P76" s="227">
        <v>7</v>
      </c>
      <c r="Q76" s="227">
        <v>4</v>
      </c>
      <c r="S76" s="227">
        <v>8</v>
      </c>
      <c r="T76" s="227">
        <v>5</v>
      </c>
      <c r="U76" s="227">
        <v>4</v>
      </c>
      <c r="V76" s="227">
        <v>7</v>
      </c>
      <c r="W76" s="227">
        <v>4</v>
      </c>
    </row>
    <row r="77" spans="1:23" x14ac:dyDescent="0.2">
      <c r="A77" s="227">
        <v>3</v>
      </c>
      <c r="B77" s="227">
        <v>4</v>
      </c>
      <c r="C77" s="227">
        <v>5</v>
      </c>
      <c r="D77" s="227">
        <v>6</v>
      </c>
      <c r="E77" s="227">
        <v>5</v>
      </c>
      <c r="G77" s="227">
        <v>3</v>
      </c>
      <c r="H77" s="227">
        <v>4</v>
      </c>
      <c r="I77" s="227">
        <v>5</v>
      </c>
      <c r="J77" s="227">
        <v>6</v>
      </c>
      <c r="K77" s="227">
        <v>5</v>
      </c>
      <c r="M77" s="227">
        <v>3</v>
      </c>
      <c r="N77" s="227">
        <v>4</v>
      </c>
      <c r="O77" s="227">
        <v>5</v>
      </c>
      <c r="P77" s="227">
        <v>6</v>
      </c>
      <c r="Q77" s="227">
        <v>5</v>
      </c>
      <c r="S77" s="227">
        <v>3</v>
      </c>
      <c r="T77" s="227">
        <v>4</v>
      </c>
      <c r="U77" s="227">
        <v>5</v>
      </c>
      <c r="V77" s="227">
        <v>6</v>
      </c>
      <c r="W77" s="227">
        <v>5</v>
      </c>
    </row>
    <row r="78" spans="1:23" x14ac:dyDescent="0.2">
      <c r="A78" s="227">
        <v>1</v>
      </c>
      <c r="B78" s="227">
        <v>7</v>
      </c>
      <c r="C78" s="227">
        <v>6</v>
      </c>
      <c r="D78" s="227">
        <v>2</v>
      </c>
      <c r="E78" s="227">
        <v>8</v>
      </c>
      <c r="G78" s="227">
        <v>1</v>
      </c>
      <c r="H78" s="227">
        <v>7</v>
      </c>
      <c r="I78" s="227">
        <v>6</v>
      </c>
      <c r="J78" s="227">
        <v>2</v>
      </c>
      <c r="K78" s="227">
        <v>8</v>
      </c>
      <c r="M78" s="227">
        <v>1</v>
      </c>
      <c r="N78" s="227">
        <v>7</v>
      </c>
      <c r="O78" s="227">
        <v>6</v>
      </c>
      <c r="P78" s="227">
        <v>2</v>
      </c>
      <c r="Q78" s="227">
        <v>8</v>
      </c>
      <c r="S78" s="227">
        <v>1</v>
      </c>
      <c r="T78" s="227">
        <v>7</v>
      </c>
      <c r="U78" s="227">
        <v>6</v>
      </c>
      <c r="V78" s="227">
        <v>2</v>
      </c>
      <c r="W78" s="227">
        <v>8</v>
      </c>
    </row>
    <row r="79" spans="1:23" x14ac:dyDescent="0.2">
      <c r="A79" s="227">
        <v>3</v>
      </c>
      <c r="B79" s="227">
        <v>1</v>
      </c>
      <c r="C79" s="227">
        <v>4</v>
      </c>
      <c r="D79" s="227">
        <v>3</v>
      </c>
      <c r="E79" s="227">
        <v>4</v>
      </c>
      <c r="G79" s="227">
        <v>3</v>
      </c>
      <c r="H79" s="227">
        <v>1</v>
      </c>
      <c r="I79" s="227">
        <v>4</v>
      </c>
      <c r="J79" s="227">
        <v>3</v>
      </c>
      <c r="K79" s="227">
        <v>4</v>
      </c>
      <c r="M79" s="227">
        <v>3</v>
      </c>
      <c r="N79" s="227">
        <v>1</v>
      </c>
      <c r="O79" s="227">
        <v>4</v>
      </c>
      <c r="P79" s="227">
        <v>3</v>
      </c>
      <c r="Q79" s="227">
        <v>4</v>
      </c>
      <c r="S79" s="227">
        <v>3</v>
      </c>
      <c r="T79" s="227">
        <v>1</v>
      </c>
      <c r="U79" s="227">
        <v>4</v>
      </c>
      <c r="V79" s="227">
        <v>3</v>
      </c>
      <c r="W79" s="227">
        <v>4</v>
      </c>
    </row>
    <row r="80" spans="1:23" x14ac:dyDescent="0.2">
      <c r="A80" s="227">
        <v>2</v>
      </c>
      <c r="B80" s="227">
        <v>7</v>
      </c>
      <c r="C80" s="227">
        <v>6</v>
      </c>
      <c r="D80" s="227">
        <v>5</v>
      </c>
      <c r="E80" s="227">
        <v>6</v>
      </c>
      <c r="G80" s="227">
        <v>2</v>
      </c>
      <c r="H80" s="227">
        <v>7</v>
      </c>
      <c r="I80" s="227">
        <v>6</v>
      </c>
      <c r="J80" s="227">
        <v>5</v>
      </c>
      <c r="K80" s="227">
        <v>6</v>
      </c>
      <c r="M80" s="227">
        <v>2</v>
      </c>
      <c r="N80" s="227">
        <v>7</v>
      </c>
      <c r="O80" s="227">
        <v>6</v>
      </c>
      <c r="P80" s="227">
        <v>5</v>
      </c>
      <c r="Q80" s="227">
        <v>6</v>
      </c>
      <c r="S80" s="227">
        <v>2</v>
      </c>
      <c r="T80" s="227">
        <v>7</v>
      </c>
      <c r="U80" s="227">
        <v>6</v>
      </c>
      <c r="V80" s="227">
        <v>5</v>
      </c>
      <c r="W80" s="227">
        <v>6</v>
      </c>
    </row>
    <row r="81" spans="1:23" x14ac:dyDescent="0.2">
      <c r="A81" s="227">
        <v>4</v>
      </c>
      <c r="B81" s="227">
        <v>6</v>
      </c>
      <c r="C81" s="227">
        <v>1</v>
      </c>
      <c r="D81" s="227">
        <v>4</v>
      </c>
      <c r="E81" s="227">
        <v>5</v>
      </c>
      <c r="G81" s="227">
        <v>4</v>
      </c>
      <c r="H81" s="227">
        <v>6</v>
      </c>
      <c r="I81" s="227">
        <v>1</v>
      </c>
      <c r="J81" s="227">
        <v>4</v>
      </c>
      <c r="K81" s="227">
        <v>5</v>
      </c>
      <c r="M81" s="227">
        <v>4</v>
      </c>
      <c r="N81" s="227">
        <v>6</v>
      </c>
      <c r="O81" s="227">
        <v>1</v>
      </c>
      <c r="P81" s="227">
        <v>4</v>
      </c>
      <c r="Q81" s="227">
        <v>5</v>
      </c>
      <c r="S81" s="227">
        <v>4</v>
      </c>
      <c r="T81" s="227">
        <v>6</v>
      </c>
      <c r="U81" s="227">
        <v>1</v>
      </c>
      <c r="V81" s="227">
        <v>4</v>
      </c>
      <c r="W81" s="227">
        <v>5</v>
      </c>
    </row>
    <row r="82" spans="1:23" x14ac:dyDescent="0.2">
      <c r="A82" s="227">
        <v>5</v>
      </c>
      <c r="B82" s="227">
        <v>1</v>
      </c>
      <c r="C82" s="227">
        <v>6</v>
      </c>
      <c r="D82" s="227">
        <v>4</v>
      </c>
      <c r="E82" s="227">
        <v>6</v>
      </c>
      <c r="G82" s="227">
        <v>5</v>
      </c>
      <c r="H82" s="227">
        <v>1</v>
      </c>
      <c r="I82" s="227">
        <v>6</v>
      </c>
      <c r="J82" s="227">
        <v>4</v>
      </c>
      <c r="K82" s="227">
        <v>6</v>
      </c>
      <c r="M82" s="227">
        <v>5</v>
      </c>
      <c r="N82" s="227">
        <v>1</v>
      </c>
      <c r="O82" s="227">
        <v>6</v>
      </c>
      <c r="P82" s="227">
        <v>4</v>
      </c>
      <c r="Q82" s="227">
        <v>6</v>
      </c>
      <c r="S82" s="227">
        <v>5</v>
      </c>
      <c r="T82" s="227">
        <v>1</v>
      </c>
      <c r="U82" s="227">
        <v>6</v>
      </c>
      <c r="V82" s="227">
        <v>4</v>
      </c>
      <c r="W82" s="227">
        <v>6</v>
      </c>
    </row>
    <row r="83" spans="1:23" x14ac:dyDescent="0.2">
      <c r="A83" s="227">
        <v>7</v>
      </c>
      <c r="B83" s="227">
        <v>2</v>
      </c>
      <c r="C83" s="227">
        <v>1</v>
      </c>
      <c r="D83" s="227">
        <v>5</v>
      </c>
      <c r="E83" s="227">
        <v>3</v>
      </c>
      <c r="G83" s="227">
        <v>7</v>
      </c>
      <c r="H83" s="227">
        <v>2</v>
      </c>
      <c r="I83" s="227">
        <v>1</v>
      </c>
      <c r="J83" s="227">
        <v>5</v>
      </c>
      <c r="K83" s="227">
        <v>3</v>
      </c>
      <c r="M83" s="227">
        <v>7</v>
      </c>
      <c r="N83" s="227">
        <v>2</v>
      </c>
      <c r="O83" s="227">
        <v>1</v>
      </c>
      <c r="P83" s="227">
        <v>5</v>
      </c>
      <c r="Q83" s="227">
        <v>3</v>
      </c>
      <c r="S83" s="227">
        <v>7</v>
      </c>
      <c r="T83" s="227">
        <v>2</v>
      </c>
      <c r="U83" s="227">
        <v>1</v>
      </c>
      <c r="V83" s="227">
        <v>5</v>
      </c>
      <c r="W83" s="227">
        <v>3</v>
      </c>
    </row>
    <row r="84" spans="1:23" x14ac:dyDescent="0.2">
      <c r="A84" s="227">
        <v>6</v>
      </c>
      <c r="B84" s="227">
        <v>6</v>
      </c>
      <c r="C84" s="227">
        <v>4</v>
      </c>
      <c r="D84" s="227">
        <v>3</v>
      </c>
      <c r="E84" s="227">
        <v>5</v>
      </c>
      <c r="G84" s="227">
        <v>6</v>
      </c>
      <c r="H84" s="227">
        <v>6</v>
      </c>
      <c r="I84" s="227">
        <v>4</v>
      </c>
      <c r="J84" s="227">
        <v>3</v>
      </c>
      <c r="K84" s="227">
        <v>5</v>
      </c>
      <c r="M84" s="227">
        <v>6</v>
      </c>
      <c r="N84" s="227">
        <v>6</v>
      </c>
      <c r="O84" s="227">
        <v>4</v>
      </c>
      <c r="P84" s="227">
        <v>3</v>
      </c>
      <c r="Q84" s="227">
        <v>5</v>
      </c>
      <c r="S84" s="227">
        <v>6</v>
      </c>
      <c r="T84" s="227">
        <v>6</v>
      </c>
      <c r="U84" s="227">
        <v>4</v>
      </c>
      <c r="V84" s="227">
        <v>3</v>
      </c>
      <c r="W84" s="227">
        <v>5</v>
      </c>
    </row>
    <row r="85" spans="1:23" x14ac:dyDescent="0.2">
      <c r="A85" s="227">
        <v>8</v>
      </c>
      <c r="B85" s="227">
        <v>3</v>
      </c>
      <c r="C85" s="227">
        <v>2</v>
      </c>
      <c r="D85" s="227">
        <v>7</v>
      </c>
      <c r="E85" s="227">
        <v>1</v>
      </c>
      <c r="G85" s="227">
        <v>8</v>
      </c>
      <c r="H85" s="227">
        <v>3</v>
      </c>
      <c r="I85" s="227">
        <v>2</v>
      </c>
      <c r="J85" s="227">
        <v>7</v>
      </c>
      <c r="K85" s="227">
        <v>1</v>
      </c>
      <c r="M85" s="227">
        <v>8</v>
      </c>
      <c r="N85" s="227">
        <v>3</v>
      </c>
      <c r="O85" s="227">
        <v>2</v>
      </c>
      <c r="P85" s="227">
        <v>7</v>
      </c>
      <c r="Q85" s="227">
        <v>1</v>
      </c>
      <c r="S85" s="227">
        <v>8</v>
      </c>
      <c r="T85" s="227">
        <v>3</v>
      </c>
      <c r="U85" s="227">
        <v>2</v>
      </c>
      <c r="V85" s="227">
        <v>7</v>
      </c>
      <c r="W85" s="227">
        <v>1</v>
      </c>
    </row>
    <row r="86" spans="1:23" x14ac:dyDescent="0.2">
      <c r="A86" s="227">
        <v>7</v>
      </c>
      <c r="B86" s="227">
        <v>3</v>
      </c>
      <c r="C86" s="227">
        <v>4</v>
      </c>
      <c r="D86" s="227">
        <v>7</v>
      </c>
      <c r="E86" s="227">
        <v>7</v>
      </c>
      <c r="G86" s="227">
        <v>7</v>
      </c>
      <c r="H86" s="227">
        <v>3</v>
      </c>
      <c r="I86" s="227">
        <v>4</v>
      </c>
      <c r="J86" s="227">
        <v>7</v>
      </c>
      <c r="K86" s="227">
        <v>7</v>
      </c>
      <c r="M86" s="227">
        <v>7</v>
      </c>
      <c r="N86" s="227">
        <v>3</v>
      </c>
      <c r="O86" s="227">
        <v>4</v>
      </c>
      <c r="P86" s="227">
        <v>7</v>
      </c>
      <c r="Q86" s="227">
        <v>7</v>
      </c>
      <c r="S86" s="227">
        <v>7</v>
      </c>
      <c r="T86" s="227">
        <v>3</v>
      </c>
      <c r="U86" s="227">
        <v>4</v>
      </c>
      <c r="V86" s="227">
        <v>7</v>
      </c>
      <c r="W86" s="227">
        <v>7</v>
      </c>
    </row>
    <row r="87" spans="1:23" x14ac:dyDescent="0.2">
      <c r="A87" s="227">
        <v>2</v>
      </c>
      <c r="B87" s="227">
        <v>3</v>
      </c>
      <c r="C87" s="227">
        <v>4</v>
      </c>
      <c r="D87" s="227">
        <v>6</v>
      </c>
      <c r="E87" s="227">
        <v>2</v>
      </c>
      <c r="G87" s="227">
        <v>2</v>
      </c>
      <c r="H87" s="227">
        <v>3</v>
      </c>
      <c r="I87" s="227">
        <v>4</v>
      </c>
      <c r="J87" s="227">
        <v>6</v>
      </c>
      <c r="K87" s="227">
        <v>2</v>
      </c>
      <c r="M87" s="227">
        <v>2</v>
      </c>
      <c r="N87" s="227">
        <v>3</v>
      </c>
      <c r="O87" s="227">
        <v>4</v>
      </c>
      <c r="P87" s="227">
        <v>6</v>
      </c>
      <c r="Q87" s="227">
        <v>2</v>
      </c>
      <c r="S87" s="227">
        <v>2</v>
      </c>
      <c r="T87" s="227">
        <v>3</v>
      </c>
      <c r="U87" s="227">
        <v>4</v>
      </c>
      <c r="V87" s="227">
        <v>6</v>
      </c>
      <c r="W87" s="227">
        <v>2</v>
      </c>
    </row>
    <row r="88" spans="1:23" x14ac:dyDescent="0.2">
      <c r="A88" s="227">
        <v>3</v>
      </c>
      <c r="B88" s="227">
        <v>6</v>
      </c>
      <c r="C88" s="227">
        <v>6</v>
      </c>
      <c r="D88" s="227">
        <v>5</v>
      </c>
      <c r="E88" s="227">
        <v>7</v>
      </c>
      <c r="G88" s="227">
        <v>3</v>
      </c>
      <c r="H88" s="227">
        <v>6</v>
      </c>
      <c r="I88" s="227">
        <v>6</v>
      </c>
      <c r="J88" s="227">
        <v>5</v>
      </c>
      <c r="K88" s="227">
        <v>7</v>
      </c>
      <c r="M88" s="227">
        <v>3</v>
      </c>
      <c r="N88" s="227">
        <v>6</v>
      </c>
      <c r="O88" s="227">
        <v>6</v>
      </c>
      <c r="P88" s="227">
        <v>5</v>
      </c>
      <c r="Q88" s="227">
        <v>7</v>
      </c>
      <c r="S88" s="227">
        <v>3</v>
      </c>
      <c r="T88" s="227">
        <v>6</v>
      </c>
      <c r="U88" s="227">
        <v>6</v>
      </c>
      <c r="V88" s="227">
        <v>5</v>
      </c>
      <c r="W88" s="227">
        <v>7</v>
      </c>
    </row>
    <row r="89" spans="1:23" x14ac:dyDescent="0.2">
      <c r="A89" s="227">
        <v>5</v>
      </c>
      <c r="B89" s="227">
        <v>2</v>
      </c>
      <c r="C89" s="227">
        <v>6</v>
      </c>
      <c r="D89" s="227">
        <v>2</v>
      </c>
      <c r="E89" s="227">
        <v>6</v>
      </c>
      <c r="G89" s="227">
        <v>5</v>
      </c>
      <c r="H89" s="227">
        <v>2</v>
      </c>
      <c r="I89" s="227">
        <v>6</v>
      </c>
      <c r="J89" s="227">
        <v>2</v>
      </c>
      <c r="K89" s="227">
        <v>6</v>
      </c>
      <c r="M89" s="227">
        <v>5</v>
      </c>
      <c r="N89" s="227">
        <v>2</v>
      </c>
      <c r="O89" s="227">
        <v>6</v>
      </c>
      <c r="P89" s="227">
        <v>2</v>
      </c>
      <c r="Q89" s="227">
        <v>6</v>
      </c>
      <c r="S89" s="227">
        <v>5</v>
      </c>
      <c r="T89" s="227">
        <v>2</v>
      </c>
      <c r="U89" s="227">
        <v>6</v>
      </c>
      <c r="V89" s="227">
        <v>2</v>
      </c>
      <c r="W89" s="227">
        <v>6</v>
      </c>
    </row>
    <row r="90" spans="1:23" x14ac:dyDescent="0.2">
      <c r="A90" s="227">
        <v>7</v>
      </c>
      <c r="B90" s="227">
        <v>5</v>
      </c>
      <c r="C90" s="227">
        <v>8</v>
      </c>
      <c r="D90" s="227">
        <v>6</v>
      </c>
      <c r="E90" s="227">
        <v>5</v>
      </c>
      <c r="G90" s="227">
        <v>7</v>
      </c>
      <c r="H90" s="227">
        <v>5</v>
      </c>
      <c r="I90" s="227">
        <v>8</v>
      </c>
      <c r="J90" s="227">
        <v>6</v>
      </c>
      <c r="K90" s="227">
        <v>5</v>
      </c>
      <c r="M90" s="227">
        <v>7</v>
      </c>
      <c r="N90" s="227">
        <v>5</v>
      </c>
      <c r="O90" s="227">
        <v>8</v>
      </c>
      <c r="P90" s="227">
        <v>6</v>
      </c>
      <c r="Q90" s="227">
        <v>5</v>
      </c>
      <c r="S90" s="227">
        <v>7</v>
      </c>
      <c r="T90" s="227">
        <v>5</v>
      </c>
      <c r="U90" s="227">
        <v>8</v>
      </c>
      <c r="V90" s="227">
        <v>6</v>
      </c>
      <c r="W90" s="227">
        <v>5</v>
      </c>
    </row>
    <row r="91" spans="1:23" x14ac:dyDescent="0.2">
      <c r="A91" s="227">
        <v>2</v>
      </c>
      <c r="B91" s="227">
        <v>5</v>
      </c>
      <c r="C91" s="227">
        <v>8</v>
      </c>
      <c r="D91" s="227">
        <v>2</v>
      </c>
      <c r="E91" s="227">
        <v>7</v>
      </c>
      <c r="G91" s="227">
        <v>2</v>
      </c>
      <c r="H91" s="227">
        <v>5</v>
      </c>
      <c r="I91" s="227">
        <v>8</v>
      </c>
      <c r="J91" s="227">
        <v>2</v>
      </c>
      <c r="K91" s="227">
        <v>7</v>
      </c>
      <c r="M91" s="227">
        <v>2</v>
      </c>
      <c r="N91" s="227">
        <v>5</v>
      </c>
      <c r="O91" s="227">
        <v>8</v>
      </c>
      <c r="P91" s="227">
        <v>2</v>
      </c>
      <c r="Q91" s="227">
        <v>7</v>
      </c>
      <c r="S91" s="227">
        <v>2</v>
      </c>
      <c r="T91" s="227">
        <v>5</v>
      </c>
      <c r="U91" s="227">
        <v>8</v>
      </c>
      <c r="V91" s="227">
        <v>2</v>
      </c>
      <c r="W91" s="227">
        <v>7</v>
      </c>
    </row>
    <row r="92" spans="1:23" x14ac:dyDescent="0.2">
      <c r="A92" s="227">
        <v>2</v>
      </c>
      <c r="B92" s="227">
        <v>5</v>
      </c>
      <c r="C92" s="227">
        <v>6</v>
      </c>
      <c r="D92" s="227">
        <v>2</v>
      </c>
      <c r="E92" s="227">
        <v>4</v>
      </c>
      <c r="G92" s="227">
        <v>2</v>
      </c>
      <c r="H92" s="227">
        <v>5</v>
      </c>
      <c r="I92" s="227">
        <v>6</v>
      </c>
      <c r="J92" s="227">
        <v>2</v>
      </c>
      <c r="K92" s="227">
        <v>4</v>
      </c>
      <c r="M92" s="227">
        <v>2</v>
      </c>
      <c r="N92" s="227">
        <v>5</v>
      </c>
      <c r="O92" s="227">
        <v>6</v>
      </c>
      <c r="P92" s="227">
        <v>2</v>
      </c>
      <c r="Q92" s="227">
        <v>4</v>
      </c>
      <c r="S92" s="227">
        <v>2</v>
      </c>
      <c r="T92" s="227">
        <v>5</v>
      </c>
      <c r="U92" s="227">
        <v>6</v>
      </c>
      <c r="V92" s="227">
        <v>2</v>
      </c>
      <c r="W92" s="227">
        <v>4</v>
      </c>
    </row>
    <row r="93" spans="1:23" x14ac:dyDescent="0.2">
      <c r="A93" s="227">
        <v>3</v>
      </c>
      <c r="B93" s="227">
        <v>6</v>
      </c>
      <c r="C93" s="227">
        <v>8</v>
      </c>
      <c r="D93" s="227">
        <v>7</v>
      </c>
      <c r="E93" s="227">
        <v>2</v>
      </c>
      <c r="G93" s="227">
        <v>3</v>
      </c>
      <c r="H93" s="227">
        <v>6</v>
      </c>
      <c r="I93" s="227">
        <v>8</v>
      </c>
      <c r="J93" s="227">
        <v>7</v>
      </c>
      <c r="K93" s="227">
        <v>2</v>
      </c>
      <c r="M93" s="227">
        <v>3</v>
      </c>
      <c r="N93" s="227">
        <v>6</v>
      </c>
      <c r="O93" s="227">
        <v>8</v>
      </c>
      <c r="P93" s="227">
        <v>7</v>
      </c>
      <c r="Q93" s="227">
        <v>2</v>
      </c>
      <c r="S93" s="227">
        <v>3</v>
      </c>
      <c r="T93" s="227">
        <v>6</v>
      </c>
      <c r="U93" s="227">
        <v>8</v>
      </c>
      <c r="V93" s="227">
        <v>7</v>
      </c>
      <c r="W93" s="227">
        <v>2</v>
      </c>
    </row>
    <row r="94" spans="1:23" x14ac:dyDescent="0.2">
      <c r="A94" s="227">
        <v>3</v>
      </c>
      <c r="B94" s="227">
        <v>5</v>
      </c>
      <c r="C94" s="227">
        <v>8</v>
      </c>
      <c r="D94" s="227">
        <v>1</v>
      </c>
      <c r="E94" s="227">
        <v>3</v>
      </c>
      <c r="G94" s="227">
        <v>3</v>
      </c>
      <c r="H94" s="227">
        <v>5</v>
      </c>
      <c r="I94" s="227">
        <v>8</v>
      </c>
      <c r="J94" s="227">
        <v>1</v>
      </c>
      <c r="K94" s="227">
        <v>3</v>
      </c>
      <c r="M94" s="227">
        <v>3</v>
      </c>
      <c r="N94" s="227">
        <v>5</v>
      </c>
      <c r="O94" s="227">
        <v>8</v>
      </c>
      <c r="P94" s="227">
        <v>1</v>
      </c>
      <c r="Q94" s="227">
        <v>3</v>
      </c>
      <c r="S94" s="227">
        <v>3</v>
      </c>
      <c r="T94" s="227">
        <v>5</v>
      </c>
      <c r="U94" s="227">
        <v>8</v>
      </c>
      <c r="V94" s="227">
        <v>1</v>
      </c>
      <c r="W94" s="227">
        <v>3</v>
      </c>
    </row>
    <row r="95" spans="1:23" x14ac:dyDescent="0.2">
      <c r="A95" s="227">
        <v>4</v>
      </c>
      <c r="B95" s="227">
        <v>1</v>
      </c>
      <c r="C95" s="227">
        <v>2</v>
      </c>
      <c r="D95" s="227">
        <v>5</v>
      </c>
      <c r="E95" s="227">
        <v>2</v>
      </c>
      <c r="G95" s="227">
        <v>4</v>
      </c>
      <c r="H95" s="227">
        <v>1</v>
      </c>
      <c r="I95" s="227">
        <v>2</v>
      </c>
      <c r="J95" s="227">
        <v>5</v>
      </c>
      <c r="K95" s="227">
        <v>2</v>
      </c>
      <c r="M95" s="227">
        <v>4</v>
      </c>
      <c r="N95" s="227">
        <v>1</v>
      </c>
      <c r="O95" s="227">
        <v>2</v>
      </c>
      <c r="P95" s="227">
        <v>5</v>
      </c>
      <c r="Q95" s="227">
        <v>2</v>
      </c>
      <c r="S95" s="227">
        <v>4</v>
      </c>
      <c r="T95" s="227">
        <v>1</v>
      </c>
      <c r="U95" s="227">
        <v>2</v>
      </c>
      <c r="V95" s="227">
        <v>5</v>
      </c>
      <c r="W95" s="227">
        <v>2</v>
      </c>
    </row>
    <row r="96" spans="1:23" x14ac:dyDescent="0.2">
      <c r="A96" s="227">
        <v>7</v>
      </c>
      <c r="B96" s="227">
        <v>6</v>
      </c>
      <c r="C96" s="227">
        <v>1</v>
      </c>
      <c r="D96" s="227">
        <v>4</v>
      </c>
      <c r="E96" s="227">
        <v>8</v>
      </c>
      <c r="G96" s="227">
        <v>7</v>
      </c>
      <c r="H96" s="227">
        <v>6</v>
      </c>
      <c r="I96" s="227">
        <v>1</v>
      </c>
      <c r="J96" s="227">
        <v>4</v>
      </c>
      <c r="K96" s="227">
        <v>8</v>
      </c>
      <c r="M96" s="227">
        <v>7</v>
      </c>
      <c r="N96" s="227">
        <v>6</v>
      </c>
      <c r="O96" s="227">
        <v>1</v>
      </c>
      <c r="P96" s="227">
        <v>4</v>
      </c>
      <c r="Q96" s="227">
        <v>8</v>
      </c>
      <c r="S96" s="227">
        <v>7</v>
      </c>
      <c r="T96" s="227">
        <v>6</v>
      </c>
      <c r="U96" s="227">
        <v>1</v>
      </c>
      <c r="V96" s="227">
        <v>4</v>
      </c>
      <c r="W96" s="227">
        <v>8</v>
      </c>
    </row>
    <row r="97" spans="1:23" x14ac:dyDescent="0.2">
      <c r="A97" s="227">
        <v>2</v>
      </c>
      <c r="B97" s="227">
        <v>6</v>
      </c>
      <c r="C97" s="227">
        <v>8</v>
      </c>
      <c r="D97" s="227">
        <v>3</v>
      </c>
      <c r="E97" s="227">
        <v>7</v>
      </c>
      <c r="G97" s="227">
        <v>2</v>
      </c>
      <c r="H97" s="227">
        <v>6</v>
      </c>
      <c r="I97" s="227">
        <v>8</v>
      </c>
      <c r="J97" s="227">
        <v>3</v>
      </c>
      <c r="K97" s="227">
        <v>7</v>
      </c>
      <c r="M97" s="227">
        <v>2</v>
      </c>
      <c r="N97" s="227">
        <v>6</v>
      </c>
      <c r="O97" s="227">
        <v>8</v>
      </c>
      <c r="P97" s="227">
        <v>3</v>
      </c>
      <c r="Q97" s="227">
        <v>7</v>
      </c>
      <c r="S97" s="227">
        <v>2</v>
      </c>
      <c r="T97" s="227">
        <v>6</v>
      </c>
      <c r="U97" s="227">
        <v>8</v>
      </c>
      <c r="V97" s="227">
        <v>3</v>
      </c>
      <c r="W97" s="227">
        <v>7</v>
      </c>
    </row>
    <row r="98" spans="1:23" x14ac:dyDescent="0.2">
      <c r="A98" s="227">
        <v>2</v>
      </c>
      <c r="B98" s="227">
        <v>7</v>
      </c>
      <c r="C98" s="227">
        <v>1</v>
      </c>
      <c r="D98" s="227">
        <v>3</v>
      </c>
      <c r="E98" s="227">
        <v>8</v>
      </c>
      <c r="G98" s="227">
        <v>2</v>
      </c>
      <c r="H98" s="227">
        <v>7</v>
      </c>
      <c r="I98" s="227">
        <v>1</v>
      </c>
      <c r="J98" s="227">
        <v>3</v>
      </c>
      <c r="K98" s="227">
        <v>8</v>
      </c>
      <c r="M98" s="227">
        <v>2</v>
      </c>
      <c r="N98" s="227">
        <v>7</v>
      </c>
      <c r="O98" s="227">
        <v>1</v>
      </c>
      <c r="P98" s="227">
        <v>3</v>
      </c>
      <c r="Q98" s="227">
        <v>8</v>
      </c>
      <c r="S98" s="227">
        <v>2</v>
      </c>
      <c r="T98" s="227">
        <v>7</v>
      </c>
      <c r="U98" s="227">
        <v>1</v>
      </c>
      <c r="V98" s="227">
        <v>3</v>
      </c>
      <c r="W98" s="227">
        <v>8</v>
      </c>
    </row>
    <row r="99" spans="1:23" x14ac:dyDescent="0.2">
      <c r="A99" s="227">
        <v>5</v>
      </c>
      <c r="B99" s="227">
        <v>7</v>
      </c>
      <c r="C99" s="227">
        <v>2</v>
      </c>
      <c r="D99" s="227">
        <v>7</v>
      </c>
      <c r="E99" s="227">
        <v>5</v>
      </c>
      <c r="G99" s="227">
        <v>5</v>
      </c>
      <c r="H99" s="227">
        <v>7</v>
      </c>
      <c r="I99" s="227">
        <v>2</v>
      </c>
      <c r="J99" s="227">
        <v>7</v>
      </c>
      <c r="K99" s="227">
        <v>5</v>
      </c>
      <c r="M99" s="227">
        <v>5</v>
      </c>
      <c r="N99" s="227">
        <v>7</v>
      </c>
      <c r="O99" s="227">
        <v>2</v>
      </c>
      <c r="P99" s="227">
        <v>7</v>
      </c>
      <c r="Q99" s="227">
        <v>5</v>
      </c>
      <c r="S99" s="227">
        <v>5</v>
      </c>
      <c r="T99" s="227">
        <v>7</v>
      </c>
      <c r="U99" s="227">
        <v>2</v>
      </c>
      <c r="V99" s="227">
        <v>7</v>
      </c>
      <c r="W99" s="227">
        <v>5</v>
      </c>
    </row>
    <row r="100" spans="1:23" x14ac:dyDescent="0.2">
      <c r="A100" s="227">
        <v>5</v>
      </c>
      <c r="B100" s="227">
        <v>5</v>
      </c>
      <c r="C100" s="227">
        <v>3</v>
      </c>
      <c r="D100" s="227">
        <v>8</v>
      </c>
      <c r="E100" s="227">
        <v>7</v>
      </c>
      <c r="G100" s="227">
        <v>5</v>
      </c>
      <c r="H100" s="227">
        <v>5</v>
      </c>
      <c r="I100" s="227">
        <v>3</v>
      </c>
      <c r="J100" s="227">
        <v>8</v>
      </c>
      <c r="K100" s="227">
        <v>7</v>
      </c>
      <c r="M100" s="227">
        <v>5</v>
      </c>
      <c r="N100" s="227">
        <v>5</v>
      </c>
      <c r="O100" s="227">
        <v>3</v>
      </c>
      <c r="P100" s="227">
        <v>8</v>
      </c>
      <c r="Q100" s="227">
        <v>7</v>
      </c>
      <c r="S100" s="227">
        <v>5</v>
      </c>
      <c r="T100" s="227">
        <v>5</v>
      </c>
      <c r="U100" s="227">
        <v>3</v>
      </c>
      <c r="V100" s="227">
        <v>8</v>
      </c>
      <c r="W100" s="227">
        <v>7</v>
      </c>
    </row>
    <row r="101" spans="1:23" x14ac:dyDescent="0.2">
      <c r="A101" s="227">
        <v>5</v>
      </c>
      <c r="B101" s="227">
        <v>6</v>
      </c>
      <c r="C101" s="227">
        <v>4</v>
      </c>
      <c r="D101" s="227">
        <v>7</v>
      </c>
      <c r="E101" s="227">
        <v>5</v>
      </c>
      <c r="G101" s="227">
        <v>5</v>
      </c>
      <c r="H101" s="227">
        <v>6</v>
      </c>
      <c r="I101" s="227">
        <v>4</v>
      </c>
      <c r="J101" s="227">
        <v>7</v>
      </c>
      <c r="K101" s="227">
        <v>5</v>
      </c>
      <c r="M101" s="227">
        <v>5</v>
      </c>
      <c r="N101" s="227">
        <v>6</v>
      </c>
      <c r="O101" s="227">
        <v>4</v>
      </c>
      <c r="P101" s="227">
        <v>7</v>
      </c>
      <c r="Q101" s="227">
        <v>5</v>
      </c>
      <c r="S101" s="227">
        <v>5</v>
      </c>
      <c r="T101" s="227">
        <v>6</v>
      </c>
      <c r="U101" s="227">
        <v>4</v>
      </c>
      <c r="V101" s="227">
        <v>7</v>
      </c>
      <c r="W101" s="227">
        <v>5</v>
      </c>
    </row>
    <row r="102" spans="1:23" x14ac:dyDescent="0.2">
      <c r="A102" s="227">
        <v>4</v>
      </c>
      <c r="B102" s="227">
        <v>4</v>
      </c>
      <c r="C102" s="227">
        <v>4</v>
      </c>
      <c r="D102" s="227">
        <v>5</v>
      </c>
      <c r="E102" s="227">
        <v>3</v>
      </c>
      <c r="G102" s="227">
        <v>4</v>
      </c>
      <c r="H102" s="227">
        <v>4</v>
      </c>
      <c r="I102" s="227">
        <v>4</v>
      </c>
      <c r="J102" s="227">
        <v>5</v>
      </c>
      <c r="K102" s="227">
        <v>3</v>
      </c>
      <c r="M102" s="227">
        <v>4</v>
      </c>
      <c r="N102" s="227">
        <v>4</v>
      </c>
      <c r="O102" s="227">
        <v>4</v>
      </c>
      <c r="P102" s="227">
        <v>5</v>
      </c>
      <c r="Q102" s="227">
        <v>3</v>
      </c>
      <c r="S102" s="227">
        <v>4</v>
      </c>
      <c r="T102" s="227">
        <v>4</v>
      </c>
      <c r="U102" s="227">
        <v>4</v>
      </c>
      <c r="V102" s="227">
        <v>5</v>
      </c>
      <c r="W102" s="227">
        <v>3</v>
      </c>
    </row>
    <row r="103" spans="1:23" x14ac:dyDescent="0.2">
      <c r="A103" s="227">
        <v>3</v>
      </c>
      <c r="B103" s="227">
        <v>2</v>
      </c>
      <c r="C103" s="227">
        <v>6</v>
      </c>
      <c r="D103" s="227">
        <v>3</v>
      </c>
      <c r="E103" s="227">
        <v>2</v>
      </c>
      <c r="G103" s="227">
        <v>3</v>
      </c>
      <c r="H103" s="227">
        <v>2</v>
      </c>
      <c r="I103" s="227">
        <v>6</v>
      </c>
      <c r="J103" s="227">
        <v>3</v>
      </c>
      <c r="K103" s="227">
        <v>2</v>
      </c>
      <c r="M103" s="227">
        <v>3</v>
      </c>
      <c r="N103" s="227">
        <v>2</v>
      </c>
      <c r="O103" s="227">
        <v>6</v>
      </c>
      <c r="P103" s="227">
        <v>3</v>
      </c>
      <c r="Q103" s="227">
        <v>2</v>
      </c>
      <c r="S103" s="227">
        <v>3</v>
      </c>
      <c r="T103" s="227">
        <v>2</v>
      </c>
      <c r="U103" s="227">
        <v>6</v>
      </c>
      <c r="V103" s="227">
        <v>3</v>
      </c>
      <c r="W103" s="227">
        <v>2</v>
      </c>
    </row>
    <row r="104" spans="1:23" x14ac:dyDescent="0.2">
      <c r="A104" s="227">
        <v>2</v>
      </c>
      <c r="B104" s="227">
        <v>3</v>
      </c>
      <c r="C104" s="227">
        <v>2</v>
      </c>
      <c r="D104" s="227">
        <v>4</v>
      </c>
      <c r="E104" s="227">
        <v>4</v>
      </c>
      <c r="G104" s="227">
        <v>2</v>
      </c>
      <c r="H104" s="227">
        <v>3</v>
      </c>
      <c r="I104" s="227">
        <v>2</v>
      </c>
      <c r="J104" s="227">
        <v>4</v>
      </c>
      <c r="K104" s="227">
        <v>4</v>
      </c>
      <c r="M104" s="227">
        <v>2</v>
      </c>
      <c r="N104" s="227">
        <v>3</v>
      </c>
      <c r="O104" s="227">
        <v>2</v>
      </c>
      <c r="P104" s="227">
        <v>4</v>
      </c>
      <c r="Q104" s="227">
        <v>4</v>
      </c>
      <c r="S104" s="227">
        <v>2</v>
      </c>
      <c r="T104" s="227">
        <v>3</v>
      </c>
      <c r="U104" s="227">
        <v>2</v>
      </c>
      <c r="V104" s="227">
        <v>4</v>
      </c>
      <c r="W104" s="227">
        <v>4</v>
      </c>
    </row>
    <row r="105" spans="1:23" x14ac:dyDescent="0.2">
      <c r="A105" s="227">
        <v>5</v>
      </c>
      <c r="B105" s="227">
        <v>5</v>
      </c>
      <c r="C105" s="227">
        <v>8</v>
      </c>
      <c r="D105" s="227">
        <v>8</v>
      </c>
      <c r="E105" s="227">
        <v>5</v>
      </c>
      <c r="G105" s="227">
        <v>5</v>
      </c>
      <c r="H105" s="227">
        <v>5</v>
      </c>
      <c r="I105" s="227">
        <v>8</v>
      </c>
      <c r="J105" s="227">
        <v>8</v>
      </c>
      <c r="K105" s="227">
        <v>5</v>
      </c>
      <c r="M105" s="227">
        <v>5</v>
      </c>
      <c r="N105" s="227">
        <v>5</v>
      </c>
      <c r="O105" s="227">
        <v>8</v>
      </c>
      <c r="P105" s="227">
        <v>8</v>
      </c>
      <c r="Q105" s="227">
        <v>5</v>
      </c>
      <c r="S105" s="227">
        <v>5</v>
      </c>
      <c r="T105" s="227">
        <v>5</v>
      </c>
      <c r="U105" s="227">
        <v>8</v>
      </c>
      <c r="V105" s="227">
        <v>8</v>
      </c>
      <c r="W105" s="227">
        <v>5</v>
      </c>
    </row>
    <row r="106" spans="1:23" x14ac:dyDescent="0.2">
      <c r="A106" s="227">
        <v>3</v>
      </c>
      <c r="B106" s="227">
        <v>6</v>
      </c>
      <c r="C106" s="227">
        <v>2</v>
      </c>
      <c r="D106" s="227">
        <v>4</v>
      </c>
      <c r="E106" s="227">
        <v>2</v>
      </c>
      <c r="G106" s="227">
        <v>3</v>
      </c>
      <c r="H106" s="227">
        <v>6</v>
      </c>
      <c r="I106" s="227">
        <v>2</v>
      </c>
      <c r="J106" s="227">
        <v>4</v>
      </c>
      <c r="K106" s="227">
        <v>2</v>
      </c>
      <c r="M106" s="227">
        <v>3</v>
      </c>
      <c r="N106" s="227">
        <v>6</v>
      </c>
      <c r="O106" s="227">
        <v>2</v>
      </c>
      <c r="P106" s="227">
        <v>4</v>
      </c>
      <c r="Q106" s="227">
        <v>2</v>
      </c>
      <c r="S106" s="227">
        <v>3</v>
      </c>
      <c r="T106" s="227">
        <v>6</v>
      </c>
      <c r="U106" s="227">
        <v>2</v>
      </c>
      <c r="V106" s="227">
        <v>4</v>
      </c>
      <c r="W106" s="227">
        <v>2</v>
      </c>
    </row>
    <row r="107" spans="1:23" x14ac:dyDescent="0.2">
      <c r="A107" s="227">
        <v>7</v>
      </c>
      <c r="B107" s="227">
        <v>5</v>
      </c>
      <c r="C107" s="227">
        <v>4</v>
      </c>
      <c r="D107" s="227">
        <v>5</v>
      </c>
      <c r="E107" s="227">
        <v>6</v>
      </c>
      <c r="G107" s="227">
        <v>7</v>
      </c>
      <c r="H107" s="227">
        <v>5</v>
      </c>
      <c r="I107" s="227">
        <v>4</v>
      </c>
      <c r="J107" s="227">
        <v>5</v>
      </c>
      <c r="K107" s="227">
        <v>6</v>
      </c>
      <c r="M107" s="227">
        <v>7</v>
      </c>
      <c r="N107" s="227">
        <v>5</v>
      </c>
      <c r="O107" s="227">
        <v>4</v>
      </c>
      <c r="P107" s="227">
        <v>5</v>
      </c>
      <c r="Q107" s="227">
        <v>6</v>
      </c>
      <c r="S107" s="227">
        <v>7</v>
      </c>
      <c r="T107" s="227">
        <v>5</v>
      </c>
      <c r="U107" s="227">
        <v>4</v>
      </c>
      <c r="V107" s="227">
        <v>5</v>
      </c>
      <c r="W107" s="227">
        <v>6</v>
      </c>
    </row>
    <row r="108" spans="1:23" x14ac:dyDescent="0.2">
      <c r="A108" s="227">
        <v>7</v>
      </c>
      <c r="B108" s="227">
        <v>5</v>
      </c>
      <c r="C108" s="227">
        <v>8</v>
      </c>
      <c r="D108" s="227">
        <v>4</v>
      </c>
      <c r="E108" s="227">
        <v>6</v>
      </c>
      <c r="G108" s="227">
        <v>7</v>
      </c>
      <c r="H108" s="227">
        <v>5</v>
      </c>
      <c r="I108" s="227">
        <v>8</v>
      </c>
      <c r="J108" s="227">
        <v>4</v>
      </c>
      <c r="K108" s="227">
        <v>6</v>
      </c>
      <c r="M108" s="227">
        <v>7</v>
      </c>
      <c r="N108" s="227">
        <v>5</v>
      </c>
      <c r="O108" s="227">
        <v>8</v>
      </c>
      <c r="P108" s="227">
        <v>4</v>
      </c>
      <c r="Q108" s="227">
        <v>6</v>
      </c>
      <c r="S108" s="227">
        <v>7</v>
      </c>
      <c r="T108" s="227">
        <v>5</v>
      </c>
      <c r="U108" s="227">
        <v>8</v>
      </c>
      <c r="V108" s="227">
        <v>4</v>
      </c>
      <c r="W108" s="227">
        <v>6</v>
      </c>
    </row>
    <row r="109" spans="1:23" x14ac:dyDescent="0.2">
      <c r="A109" s="227">
        <v>8</v>
      </c>
      <c r="B109" s="227">
        <v>7</v>
      </c>
      <c r="C109" s="227">
        <v>8</v>
      </c>
      <c r="D109" s="227">
        <v>5</v>
      </c>
      <c r="E109" s="227">
        <v>4</v>
      </c>
      <c r="G109" s="227">
        <v>8</v>
      </c>
      <c r="H109" s="227">
        <v>7</v>
      </c>
      <c r="I109" s="227">
        <v>8</v>
      </c>
      <c r="J109" s="227">
        <v>5</v>
      </c>
      <c r="K109" s="227">
        <v>4</v>
      </c>
      <c r="M109" s="227">
        <v>8</v>
      </c>
      <c r="N109" s="227">
        <v>7</v>
      </c>
      <c r="O109" s="227">
        <v>8</v>
      </c>
      <c r="P109" s="227">
        <v>5</v>
      </c>
      <c r="Q109" s="227">
        <v>4</v>
      </c>
      <c r="S109" s="227">
        <v>8</v>
      </c>
      <c r="T109" s="227">
        <v>7</v>
      </c>
      <c r="U109" s="227">
        <v>8</v>
      </c>
      <c r="V109" s="227">
        <v>5</v>
      </c>
      <c r="W109" s="227">
        <v>4</v>
      </c>
    </row>
    <row r="110" spans="1:23" x14ac:dyDescent="0.2">
      <c r="A110" s="227">
        <v>3</v>
      </c>
      <c r="B110" s="227">
        <v>5</v>
      </c>
      <c r="C110" s="227">
        <v>1</v>
      </c>
      <c r="D110" s="227">
        <v>3</v>
      </c>
      <c r="E110" s="227">
        <v>6</v>
      </c>
      <c r="G110" s="227">
        <v>3</v>
      </c>
      <c r="H110" s="227">
        <v>5</v>
      </c>
      <c r="I110" s="227">
        <v>1</v>
      </c>
      <c r="J110" s="227">
        <v>3</v>
      </c>
      <c r="K110" s="227">
        <v>6</v>
      </c>
      <c r="M110" s="227">
        <v>3</v>
      </c>
      <c r="N110" s="227">
        <v>5</v>
      </c>
      <c r="O110" s="227">
        <v>1</v>
      </c>
      <c r="P110" s="227">
        <v>3</v>
      </c>
      <c r="Q110" s="227">
        <v>6</v>
      </c>
      <c r="S110" s="227">
        <v>3</v>
      </c>
      <c r="T110" s="227">
        <v>5</v>
      </c>
      <c r="U110" s="227">
        <v>1</v>
      </c>
      <c r="V110" s="227">
        <v>3</v>
      </c>
      <c r="W110" s="227">
        <v>6</v>
      </c>
    </row>
    <row r="111" spans="1:23" x14ac:dyDescent="0.2">
      <c r="A111" s="227">
        <v>7</v>
      </c>
      <c r="B111" s="227">
        <v>5</v>
      </c>
      <c r="C111" s="227">
        <v>4</v>
      </c>
      <c r="D111" s="227">
        <v>3</v>
      </c>
      <c r="E111" s="227">
        <v>4</v>
      </c>
      <c r="G111" s="227">
        <v>7</v>
      </c>
      <c r="H111" s="227">
        <v>5</v>
      </c>
      <c r="I111" s="227">
        <v>4</v>
      </c>
      <c r="J111" s="227">
        <v>3</v>
      </c>
      <c r="K111" s="227">
        <v>4</v>
      </c>
      <c r="M111" s="227">
        <v>7</v>
      </c>
      <c r="N111" s="227">
        <v>5</v>
      </c>
      <c r="O111" s="227">
        <v>4</v>
      </c>
      <c r="P111" s="227">
        <v>3</v>
      </c>
      <c r="Q111" s="227">
        <v>4</v>
      </c>
      <c r="S111" s="227">
        <v>7</v>
      </c>
      <c r="T111" s="227">
        <v>5</v>
      </c>
      <c r="U111" s="227">
        <v>4</v>
      </c>
      <c r="V111" s="227">
        <v>3</v>
      </c>
      <c r="W111" s="227">
        <v>4</v>
      </c>
    </row>
    <row r="112" spans="1:23" x14ac:dyDescent="0.2">
      <c r="A112" s="227">
        <v>2</v>
      </c>
      <c r="B112" s="227">
        <v>5</v>
      </c>
      <c r="C112" s="227">
        <v>8</v>
      </c>
      <c r="D112" s="227">
        <v>8</v>
      </c>
      <c r="E112" s="227">
        <v>4</v>
      </c>
      <c r="G112" s="227">
        <v>2</v>
      </c>
      <c r="H112" s="227">
        <v>5</v>
      </c>
      <c r="I112" s="227">
        <v>8</v>
      </c>
      <c r="J112" s="227">
        <v>8</v>
      </c>
      <c r="K112" s="227">
        <v>4</v>
      </c>
      <c r="M112" s="227">
        <v>2</v>
      </c>
      <c r="N112" s="227">
        <v>5</v>
      </c>
      <c r="O112" s="227">
        <v>8</v>
      </c>
      <c r="P112" s="227">
        <v>8</v>
      </c>
      <c r="Q112" s="227">
        <v>4</v>
      </c>
      <c r="S112" s="227">
        <v>2</v>
      </c>
      <c r="T112" s="227">
        <v>5</v>
      </c>
      <c r="U112" s="227">
        <v>8</v>
      </c>
      <c r="V112" s="227">
        <v>8</v>
      </c>
      <c r="W112" s="227">
        <v>4</v>
      </c>
    </row>
    <row r="113" spans="1:23" x14ac:dyDescent="0.2">
      <c r="A113" s="227">
        <v>4</v>
      </c>
      <c r="B113" s="227">
        <v>5</v>
      </c>
      <c r="C113" s="227">
        <v>6</v>
      </c>
      <c r="D113" s="227">
        <v>8</v>
      </c>
      <c r="E113" s="227">
        <v>7</v>
      </c>
      <c r="G113" s="227">
        <v>4</v>
      </c>
      <c r="H113" s="227">
        <v>5</v>
      </c>
      <c r="I113" s="227">
        <v>6</v>
      </c>
      <c r="J113" s="227">
        <v>8</v>
      </c>
      <c r="K113" s="227">
        <v>7</v>
      </c>
      <c r="M113" s="227">
        <v>4</v>
      </c>
      <c r="N113" s="227">
        <v>5</v>
      </c>
      <c r="O113" s="227">
        <v>6</v>
      </c>
      <c r="P113" s="227">
        <v>8</v>
      </c>
      <c r="Q113" s="227">
        <v>7</v>
      </c>
      <c r="S113" s="227">
        <v>4</v>
      </c>
      <c r="T113" s="227">
        <v>5</v>
      </c>
      <c r="U113" s="227">
        <v>6</v>
      </c>
      <c r="V113" s="227">
        <v>8</v>
      </c>
      <c r="W113" s="227">
        <v>7</v>
      </c>
    </row>
    <row r="114" spans="1:23" x14ac:dyDescent="0.2">
      <c r="A114" s="227">
        <v>7</v>
      </c>
      <c r="B114" s="227">
        <v>6</v>
      </c>
      <c r="C114" s="227">
        <v>7</v>
      </c>
      <c r="D114" s="227">
        <v>6</v>
      </c>
      <c r="E114" s="227">
        <v>5</v>
      </c>
      <c r="G114" s="227">
        <v>7</v>
      </c>
      <c r="H114" s="227">
        <v>6</v>
      </c>
      <c r="I114" s="227">
        <v>7</v>
      </c>
      <c r="J114" s="227">
        <v>6</v>
      </c>
      <c r="K114" s="227">
        <v>5</v>
      </c>
      <c r="M114" s="227">
        <v>7</v>
      </c>
      <c r="N114" s="227">
        <v>6</v>
      </c>
      <c r="O114" s="227">
        <v>7</v>
      </c>
      <c r="P114" s="227">
        <v>6</v>
      </c>
      <c r="Q114" s="227">
        <v>5</v>
      </c>
      <c r="S114" s="227">
        <v>7</v>
      </c>
      <c r="T114" s="227">
        <v>6</v>
      </c>
      <c r="U114" s="227">
        <v>7</v>
      </c>
      <c r="V114" s="227">
        <v>6</v>
      </c>
      <c r="W114" s="227">
        <v>5</v>
      </c>
    </row>
    <row r="115" spans="1:23" x14ac:dyDescent="0.2">
      <c r="A115" s="227">
        <v>4</v>
      </c>
      <c r="B115" s="227">
        <v>8</v>
      </c>
      <c r="C115" s="227">
        <v>4</v>
      </c>
      <c r="D115" s="227">
        <v>4</v>
      </c>
      <c r="E115" s="227">
        <v>6</v>
      </c>
      <c r="G115" s="227">
        <v>4</v>
      </c>
      <c r="H115" s="227">
        <v>8</v>
      </c>
      <c r="I115" s="227">
        <v>4</v>
      </c>
      <c r="J115" s="227">
        <v>4</v>
      </c>
      <c r="K115" s="227">
        <v>6</v>
      </c>
      <c r="M115" s="227">
        <v>4</v>
      </c>
      <c r="N115" s="227">
        <v>8</v>
      </c>
      <c r="O115" s="227">
        <v>4</v>
      </c>
      <c r="P115" s="227">
        <v>4</v>
      </c>
      <c r="Q115" s="227">
        <v>6</v>
      </c>
      <c r="S115" s="227">
        <v>4</v>
      </c>
      <c r="T115" s="227">
        <v>8</v>
      </c>
      <c r="U115" s="227">
        <v>4</v>
      </c>
      <c r="V115" s="227">
        <v>4</v>
      </c>
      <c r="W115" s="227">
        <v>6</v>
      </c>
    </row>
    <row r="116" spans="1:23" x14ac:dyDescent="0.2">
      <c r="A116" s="227">
        <v>7</v>
      </c>
      <c r="B116" s="227">
        <v>7</v>
      </c>
      <c r="C116" s="227">
        <v>8</v>
      </c>
      <c r="D116" s="227">
        <v>8</v>
      </c>
      <c r="E116" s="227">
        <v>7</v>
      </c>
      <c r="G116" s="227">
        <v>7</v>
      </c>
      <c r="H116" s="227">
        <v>7</v>
      </c>
      <c r="I116" s="227">
        <v>8</v>
      </c>
      <c r="J116" s="227">
        <v>8</v>
      </c>
      <c r="K116" s="227">
        <v>7</v>
      </c>
      <c r="M116" s="227">
        <v>7</v>
      </c>
      <c r="N116" s="227">
        <v>7</v>
      </c>
      <c r="O116" s="227">
        <v>8</v>
      </c>
      <c r="P116" s="227">
        <v>8</v>
      </c>
      <c r="Q116" s="227">
        <v>7</v>
      </c>
      <c r="S116" s="227">
        <v>7</v>
      </c>
      <c r="T116" s="227">
        <v>7</v>
      </c>
      <c r="U116" s="227">
        <v>8</v>
      </c>
      <c r="V116" s="227">
        <v>8</v>
      </c>
      <c r="W116" s="227">
        <v>7</v>
      </c>
    </row>
    <row r="117" spans="1:23" x14ac:dyDescent="0.2">
      <c r="A117" s="227">
        <v>8</v>
      </c>
      <c r="B117" s="227">
        <v>3</v>
      </c>
      <c r="C117" s="227">
        <v>6</v>
      </c>
      <c r="D117" s="227">
        <v>6</v>
      </c>
      <c r="E117" s="227">
        <v>8</v>
      </c>
      <c r="G117" s="227">
        <v>8</v>
      </c>
      <c r="H117" s="227">
        <v>3</v>
      </c>
      <c r="I117" s="227">
        <v>6</v>
      </c>
      <c r="J117" s="227">
        <v>6</v>
      </c>
      <c r="K117" s="227">
        <v>8</v>
      </c>
      <c r="M117" s="227">
        <v>8</v>
      </c>
      <c r="N117" s="227">
        <v>3</v>
      </c>
      <c r="O117" s="227">
        <v>6</v>
      </c>
      <c r="P117" s="227">
        <v>6</v>
      </c>
      <c r="Q117" s="227">
        <v>8</v>
      </c>
      <c r="S117" s="227">
        <v>8</v>
      </c>
      <c r="T117" s="227">
        <v>3</v>
      </c>
      <c r="U117" s="227">
        <v>6</v>
      </c>
      <c r="V117" s="227">
        <v>6</v>
      </c>
      <c r="W117" s="227">
        <v>8</v>
      </c>
    </row>
    <row r="118" spans="1:23" x14ac:dyDescent="0.2">
      <c r="A118" s="227">
        <v>4</v>
      </c>
      <c r="B118" s="227">
        <v>5</v>
      </c>
      <c r="C118" s="227">
        <v>6</v>
      </c>
      <c r="D118" s="227">
        <v>3</v>
      </c>
      <c r="E118" s="227">
        <v>8</v>
      </c>
      <c r="G118" s="227">
        <v>4</v>
      </c>
      <c r="H118" s="227">
        <v>5</v>
      </c>
      <c r="I118" s="227">
        <v>6</v>
      </c>
      <c r="J118" s="227">
        <v>3</v>
      </c>
      <c r="K118" s="227">
        <v>8</v>
      </c>
      <c r="M118" s="227">
        <v>4</v>
      </c>
      <c r="N118" s="227">
        <v>5</v>
      </c>
      <c r="O118" s="227">
        <v>6</v>
      </c>
      <c r="P118" s="227">
        <v>3</v>
      </c>
      <c r="Q118" s="227">
        <v>8</v>
      </c>
      <c r="S118" s="227">
        <v>4</v>
      </c>
      <c r="T118" s="227">
        <v>5</v>
      </c>
      <c r="U118" s="227">
        <v>6</v>
      </c>
      <c r="V118" s="227">
        <v>3</v>
      </c>
      <c r="W118" s="227">
        <v>8</v>
      </c>
    </row>
    <row r="119" spans="1:23" x14ac:dyDescent="0.2">
      <c r="A119" s="227">
        <v>2</v>
      </c>
      <c r="B119" s="227">
        <v>4</v>
      </c>
      <c r="C119" s="227">
        <v>8</v>
      </c>
      <c r="D119" s="227">
        <v>1</v>
      </c>
      <c r="E119" s="227">
        <v>8</v>
      </c>
      <c r="G119" s="227">
        <v>2</v>
      </c>
      <c r="H119" s="227">
        <v>4</v>
      </c>
      <c r="I119" s="227">
        <v>8</v>
      </c>
      <c r="J119" s="227">
        <v>1</v>
      </c>
      <c r="K119" s="227">
        <v>8</v>
      </c>
      <c r="M119" s="227">
        <v>2</v>
      </c>
      <c r="N119" s="227">
        <v>4</v>
      </c>
      <c r="O119" s="227">
        <v>8</v>
      </c>
      <c r="P119" s="227">
        <v>1</v>
      </c>
      <c r="Q119" s="227">
        <v>8</v>
      </c>
      <c r="S119" s="227">
        <v>2</v>
      </c>
      <c r="T119" s="227">
        <v>4</v>
      </c>
      <c r="U119" s="227">
        <v>8</v>
      </c>
      <c r="V119" s="227">
        <v>1</v>
      </c>
      <c r="W119" s="227">
        <v>8</v>
      </c>
    </row>
    <row r="120" spans="1:23" x14ac:dyDescent="0.2">
      <c r="A120" s="227">
        <v>1</v>
      </c>
      <c r="B120" s="227">
        <v>7</v>
      </c>
      <c r="C120" s="227">
        <v>3</v>
      </c>
      <c r="D120" s="227">
        <v>6</v>
      </c>
      <c r="E120" s="227">
        <v>2</v>
      </c>
      <c r="G120" s="227">
        <v>1</v>
      </c>
      <c r="H120" s="227">
        <v>7</v>
      </c>
      <c r="I120" s="227">
        <v>3</v>
      </c>
      <c r="J120" s="227">
        <v>6</v>
      </c>
      <c r="K120" s="227">
        <v>2</v>
      </c>
      <c r="M120" s="227">
        <v>1</v>
      </c>
      <c r="N120" s="227">
        <v>7</v>
      </c>
      <c r="O120" s="227">
        <v>3</v>
      </c>
      <c r="P120" s="227">
        <v>6</v>
      </c>
      <c r="Q120" s="227">
        <v>2</v>
      </c>
      <c r="S120" s="227">
        <v>1</v>
      </c>
      <c r="T120" s="227">
        <v>7</v>
      </c>
      <c r="U120" s="227">
        <v>3</v>
      </c>
      <c r="V120" s="227">
        <v>6</v>
      </c>
      <c r="W120" s="227">
        <v>2</v>
      </c>
    </row>
    <row r="121" spans="1:23" x14ac:dyDescent="0.2">
      <c r="A121" s="227">
        <v>5</v>
      </c>
      <c r="B121" s="227">
        <v>3</v>
      </c>
      <c r="C121" s="227">
        <v>1</v>
      </c>
      <c r="D121" s="227">
        <v>6</v>
      </c>
      <c r="E121" s="227">
        <v>3</v>
      </c>
      <c r="G121" s="227">
        <v>5</v>
      </c>
      <c r="H121" s="227">
        <v>3</v>
      </c>
      <c r="I121" s="227">
        <v>1</v>
      </c>
      <c r="J121" s="227">
        <v>6</v>
      </c>
      <c r="K121" s="227">
        <v>3</v>
      </c>
      <c r="M121" s="227">
        <v>5</v>
      </c>
      <c r="N121" s="227">
        <v>3</v>
      </c>
      <c r="O121" s="227">
        <v>1</v>
      </c>
      <c r="P121" s="227">
        <v>6</v>
      </c>
      <c r="Q121" s="227">
        <v>3</v>
      </c>
      <c r="S121" s="227">
        <v>5</v>
      </c>
      <c r="T121" s="227">
        <v>3</v>
      </c>
      <c r="U121" s="227">
        <v>1</v>
      </c>
      <c r="V121" s="227">
        <v>6</v>
      </c>
      <c r="W121" s="227">
        <v>3</v>
      </c>
    </row>
    <row r="122" spans="1:23" x14ac:dyDescent="0.2">
      <c r="A122" s="227">
        <v>4</v>
      </c>
      <c r="B122" s="227">
        <v>6</v>
      </c>
      <c r="C122" s="227">
        <v>4</v>
      </c>
      <c r="D122" s="227">
        <v>4</v>
      </c>
      <c r="E122" s="227">
        <v>8</v>
      </c>
      <c r="G122" s="227">
        <v>4</v>
      </c>
      <c r="H122" s="227">
        <v>6</v>
      </c>
      <c r="I122" s="227">
        <v>4</v>
      </c>
      <c r="J122" s="227">
        <v>4</v>
      </c>
      <c r="K122" s="227">
        <v>8</v>
      </c>
      <c r="M122" s="227">
        <v>4</v>
      </c>
      <c r="N122" s="227">
        <v>6</v>
      </c>
      <c r="O122" s="227">
        <v>4</v>
      </c>
      <c r="P122" s="227">
        <v>4</v>
      </c>
      <c r="Q122" s="227">
        <v>8</v>
      </c>
      <c r="S122" s="227">
        <v>4</v>
      </c>
      <c r="T122" s="227">
        <v>6</v>
      </c>
      <c r="U122" s="227">
        <v>4</v>
      </c>
      <c r="V122" s="227">
        <v>4</v>
      </c>
      <c r="W122" s="227">
        <v>8</v>
      </c>
    </row>
    <row r="123" spans="1:23" x14ac:dyDescent="0.2">
      <c r="A123" s="227">
        <v>7</v>
      </c>
      <c r="B123" s="227">
        <v>1</v>
      </c>
      <c r="C123" s="227">
        <v>2</v>
      </c>
      <c r="D123" s="227">
        <v>5</v>
      </c>
      <c r="E123" s="227">
        <v>1</v>
      </c>
      <c r="G123" s="227">
        <v>7</v>
      </c>
      <c r="H123" s="227">
        <v>1</v>
      </c>
      <c r="I123" s="227">
        <v>2</v>
      </c>
      <c r="J123" s="227">
        <v>5</v>
      </c>
      <c r="K123" s="227">
        <v>1</v>
      </c>
      <c r="M123" s="227">
        <v>7</v>
      </c>
      <c r="N123" s="227">
        <v>1</v>
      </c>
      <c r="O123" s="227">
        <v>2</v>
      </c>
      <c r="P123" s="227">
        <v>5</v>
      </c>
      <c r="Q123" s="227">
        <v>1</v>
      </c>
      <c r="S123" s="227">
        <v>7</v>
      </c>
      <c r="T123" s="227">
        <v>1</v>
      </c>
      <c r="U123" s="227">
        <v>2</v>
      </c>
      <c r="V123" s="227">
        <v>5</v>
      </c>
      <c r="W123" s="227">
        <v>1</v>
      </c>
    </row>
    <row r="124" spans="1:23" x14ac:dyDescent="0.2">
      <c r="A124" s="227">
        <v>8</v>
      </c>
      <c r="B124" s="227">
        <v>8</v>
      </c>
      <c r="C124" s="227">
        <v>4</v>
      </c>
      <c r="D124" s="227">
        <v>4</v>
      </c>
      <c r="E124" s="227">
        <v>2</v>
      </c>
      <c r="G124" s="227">
        <v>8</v>
      </c>
      <c r="H124" s="227">
        <v>8</v>
      </c>
      <c r="I124" s="227">
        <v>4</v>
      </c>
      <c r="J124" s="227">
        <v>4</v>
      </c>
      <c r="K124" s="227">
        <v>2</v>
      </c>
      <c r="M124" s="227">
        <v>8</v>
      </c>
      <c r="N124" s="227">
        <v>8</v>
      </c>
      <c r="O124" s="227">
        <v>4</v>
      </c>
      <c r="P124" s="227">
        <v>4</v>
      </c>
      <c r="Q124" s="227">
        <v>2</v>
      </c>
      <c r="S124" s="227">
        <v>8</v>
      </c>
      <c r="T124" s="227">
        <v>8</v>
      </c>
      <c r="U124" s="227">
        <v>4</v>
      </c>
      <c r="V124" s="227">
        <v>4</v>
      </c>
      <c r="W124" s="227">
        <v>2</v>
      </c>
    </row>
    <row r="125" spans="1:23" x14ac:dyDescent="0.2">
      <c r="A125" s="227">
        <v>7</v>
      </c>
      <c r="B125" s="227">
        <v>5</v>
      </c>
      <c r="C125" s="227">
        <v>6</v>
      </c>
      <c r="D125" s="227">
        <v>6</v>
      </c>
      <c r="E125" s="227">
        <v>4</v>
      </c>
      <c r="G125" s="227">
        <v>7</v>
      </c>
      <c r="H125" s="227">
        <v>5</v>
      </c>
      <c r="I125" s="227">
        <v>6</v>
      </c>
      <c r="J125" s="227">
        <v>6</v>
      </c>
      <c r="K125" s="227">
        <v>4</v>
      </c>
      <c r="M125" s="227">
        <v>7</v>
      </c>
      <c r="N125" s="227">
        <v>5</v>
      </c>
      <c r="O125" s="227">
        <v>6</v>
      </c>
      <c r="P125" s="227">
        <v>6</v>
      </c>
      <c r="Q125" s="227">
        <v>4</v>
      </c>
      <c r="S125" s="227">
        <v>7</v>
      </c>
      <c r="T125" s="227">
        <v>5</v>
      </c>
      <c r="U125" s="227">
        <v>6</v>
      </c>
      <c r="V125" s="227">
        <v>6</v>
      </c>
      <c r="W125" s="227">
        <v>4</v>
      </c>
    </row>
    <row r="126" spans="1:23" x14ac:dyDescent="0.2">
      <c r="A126" s="227">
        <v>7</v>
      </c>
      <c r="B126" s="227">
        <v>5</v>
      </c>
      <c r="C126" s="227">
        <v>1</v>
      </c>
      <c r="D126" s="227">
        <v>6</v>
      </c>
      <c r="E126" s="227">
        <v>7</v>
      </c>
      <c r="G126" s="227">
        <v>7</v>
      </c>
      <c r="H126" s="227">
        <v>5</v>
      </c>
      <c r="I126" s="227">
        <v>1</v>
      </c>
      <c r="J126" s="227">
        <v>6</v>
      </c>
      <c r="K126" s="227">
        <v>7</v>
      </c>
      <c r="M126" s="227">
        <v>7</v>
      </c>
      <c r="N126" s="227">
        <v>5</v>
      </c>
      <c r="O126" s="227">
        <v>1</v>
      </c>
      <c r="P126" s="227">
        <v>6</v>
      </c>
      <c r="Q126" s="227">
        <v>7</v>
      </c>
      <c r="S126" s="227">
        <v>7</v>
      </c>
      <c r="T126" s="227">
        <v>5</v>
      </c>
      <c r="U126" s="227">
        <v>1</v>
      </c>
      <c r="V126" s="227">
        <v>6</v>
      </c>
      <c r="W126" s="227">
        <v>7</v>
      </c>
    </row>
    <row r="127" spans="1:23" x14ac:dyDescent="0.2">
      <c r="A127" s="227">
        <v>2</v>
      </c>
      <c r="B127" s="227">
        <v>5</v>
      </c>
      <c r="C127" s="227">
        <v>6</v>
      </c>
      <c r="D127" s="227">
        <v>6</v>
      </c>
      <c r="E127" s="227"/>
      <c r="G127" s="227">
        <v>2</v>
      </c>
      <c r="H127" s="227">
        <v>5</v>
      </c>
      <c r="I127" s="227">
        <v>6</v>
      </c>
      <c r="J127" s="227">
        <v>6</v>
      </c>
      <c r="K127" s="227"/>
      <c r="M127" s="227">
        <v>2</v>
      </c>
      <c r="N127" s="227">
        <v>5</v>
      </c>
      <c r="O127" s="227">
        <v>6</v>
      </c>
      <c r="P127" s="227">
        <v>6</v>
      </c>
      <c r="Q127" s="227"/>
      <c r="S127" s="227">
        <v>2</v>
      </c>
      <c r="T127" s="227">
        <v>5</v>
      </c>
      <c r="U127" s="227">
        <v>6</v>
      </c>
      <c r="V127" s="227">
        <v>6</v>
      </c>
      <c r="W127" s="227"/>
    </row>
    <row r="128" spans="1:23" x14ac:dyDescent="0.2">
      <c r="A128" s="227">
        <v>3</v>
      </c>
      <c r="B128" s="227">
        <v>1</v>
      </c>
      <c r="C128" s="227">
        <v>6</v>
      </c>
      <c r="D128" s="227">
        <v>5</v>
      </c>
      <c r="E128" s="227"/>
      <c r="G128" s="227">
        <v>3</v>
      </c>
      <c r="H128" s="227">
        <v>1</v>
      </c>
      <c r="I128" s="227">
        <v>6</v>
      </c>
      <c r="J128" s="227">
        <v>5</v>
      </c>
      <c r="K128" s="227"/>
      <c r="M128" s="227">
        <v>3</v>
      </c>
      <c r="N128" s="227">
        <v>1</v>
      </c>
      <c r="O128" s="227">
        <v>6</v>
      </c>
      <c r="P128" s="227">
        <v>5</v>
      </c>
      <c r="Q128" s="227"/>
      <c r="S128" s="227">
        <v>3</v>
      </c>
      <c r="T128" s="227">
        <v>1</v>
      </c>
      <c r="U128" s="227">
        <v>6</v>
      </c>
      <c r="V128" s="227">
        <v>5</v>
      </c>
      <c r="W128" s="227"/>
    </row>
    <row r="129" spans="1:23" x14ac:dyDescent="0.2">
      <c r="A129" s="227">
        <v>3</v>
      </c>
      <c r="B129" s="227">
        <v>6</v>
      </c>
      <c r="C129" s="227">
        <v>8</v>
      </c>
      <c r="D129" s="227">
        <v>1</v>
      </c>
      <c r="E129" s="227"/>
      <c r="G129" s="227">
        <v>3</v>
      </c>
      <c r="H129" s="227">
        <v>6</v>
      </c>
      <c r="I129" s="227">
        <v>8</v>
      </c>
      <c r="J129" s="227">
        <v>1</v>
      </c>
      <c r="K129" s="227"/>
      <c r="M129" s="227">
        <v>3</v>
      </c>
      <c r="N129" s="227">
        <v>6</v>
      </c>
      <c r="O129" s="227">
        <v>8</v>
      </c>
      <c r="P129" s="227">
        <v>1</v>
      </c>
      <c r="Q129" s="227"/>
      <c r="S129" s="227">
        <v>3</v>
      </c>
      <c r="T129" s="227">
        <v>6</v>
      </c>
      <c r="U129" s="227">
        <v>8</v>
      </c>
      <c r="V129" s="227">
        <v>1</v>
      </c>
      <c r="W129" s="227"/>
    </row>
    <row r="130" spans="1:23" x14ac:dyDescent="0.2">
      <c r="A130" s="227">
        <v>3</v>
      </c>
      <c r="B130" s="227">
        <v>5</v>
      </c>
      <c r="C130" s="227">
        <v>6</v>
      </c>
      <c r="D130" s="227">
        <v>1</v>
      </c>
      <c r="E130" s="227"/>
      <c r="G130" s="227">
        <v>3</v>
      </c>
      <c r="H130" s="227">
        <v>5</v>
      </c>
      <c r="I130" s="227">
        <v>6</v>
      </c>
      <c r="J130" s="227">
        <v>1</v>
      </c>
      <c r="K130" s="227"/>
      <c r="M130" s="227">
        <v>3</v>
      </c>
      <c r="N130" s="227">
        <v>5</v>
      </c>
      <c r="O130" s="227">
        <v>6</v>
      </c>
      <c r="P130" s="227">
        <v>1</v>
      </c>
      <c r="Q130" s="227"/>
      <c r="S130" s="227">
        <v>3</v>
      </c>
      <c r="T130" s="227">
        <v>5</v>
      </c>
      <c r="U130" s="227">
        <v>6</v>
      </c>
      <c r="V130" s="227">
        <v>1</v>
      </c>
      <c r="W130" s="227"/>
    </row>
    <row r="131" spans="1:23" x14ac:dyDescent="0.2">
      <c r="A131" s="227">
        <v>2</v>
      </c>
      <c r="B131" s="227">
        <v>5</v>
      </c>
      <c r="C131" s="227">
        <v>8</v>
      </c>
      <c r="D131" s="227">
        <v>7</v>
      </c>
      <c r="E131" s="227"/>
      <c r="G131" s="227">
        <v>2</v>
      </c>
      <c r="H131" s="227">
        <v>5</v>
      </c>
      <c r="I131" s="227">
        <v>8</v>
      </c>
      <c r="J131" s="227">
        <v>7</v>
      </c>
      <c r="K131" s="227"/>
      <c r="M131" s="227">
        <v>2</v>
      </c>
      <c r="N131" s="227">
        <v>5</v>
      </c>
      <c r="O131" s="227">
        <v>8</v>
      </c>
      <c r="P131" s="227">
        <v>7</v>
      </c>
      <c r="Q131" s="227"/>
      <c r="S131" s="227">
        <v>2</v>
      </c>
      <c r="T131" s="227">
        <v>5</v>
      </c>
      <c r="U131" s="227">
        <v>8</v>
      </c>
      <c r="V131" s="227">
        <v>7</v>
      </c>
      <c r="W131" s="227"/>
    </row>
    <row r="132" spans="1:23" x14ac:dyDescent="0.2">
      <c r="A132" s="227">
        <v>5</v>
      </c>
      <c r="B132" s="227">
        <v>1</v>
      </c>
      <c r="C132" s="227">
        <v>2</v>
      </c>
      <c r="D132" s="227">
        <v>8</v>
      </c>
      <c r="E132" s="227"/>
      <c r="G132" s="227">
        <v>5</v>
      </c>
      <c r="H132" s="227">
        <v>1</v>
      </c>
      <c r="I132" s="227">
        <v>2</v>
      </c>
      <c r="J132" s="227">
        <v>8</v>
      </c>
      <c r="K132" s="227"/>
      <c r="M132" s="227">
        <v>5</v>
      </c>
      <c r="N132" s="227">
        <v>1</v>
      </c>
      <c r="O132" s="227">
        <v>2</v>
      </c>
      <c r="P132" s="227">
        <v>8</v>
      </c>
      <c r="Q132" s="227"/>
      <c r="S132" s="227">
        <v>5</v>
      </c>
      <c r="T132" s="227">
        <v>1</v>
      </c>
      <c r="U132" s="227">
        <v>2</v>
      </c>
      <c r="V132" s="227">
        <v>8</v>
      </c>
      <c r="W132" s="227"/>
    </row>
    <row r="133" spans="1:23" x14ac:dyDescent="0.2">
      <c r="A133" s="227">
        <v>2</v>
      </c>
      <c r="B133" s="227">
        <v>6</v>
      </c>
      <c r="C133" s="227">
        <v>2</v>
      </c>
      <c r="D133" s="227">
        <v>5</v>
      </c>
      <c r="E133" s="227"/>
      <c r="G133" s="227">
        <v>2</v>
      </c>
      <c r="H133" s="227">
        <v>6</v>
      </c>
      <c r="I133" s="227">
        <v>2</v>
      </c>
      <c r="J133" s="227">
        <v>5</v>
      </c>
      <c r="K133" s="227"/>
      <c r="M133" s="227">
        <v>2</v>
      </c>
      <c r="N133" s="227">
        <v>6</v>
      </c>
      <c r="O133" s="227">
        <v>2</v>
      </c>
      <c r="P133" s="227">
        <v>5</v>
      </c>
      <c r="Q133" s="227"/>
      <c r="S133" s="227">
        <v>2</v>
      </c>
      <c r="T133" s="227">
        <v>6</v>
      </c>
      <c r="U133" s="227">
        <v>2</v>
      </c>
      <c r="V133" s="227">
        <v>5</v>
      </c>
      <c r="W133" s="227"/>
    </row>
    <row r="134" spans="1:23" x14ac:dyDescent="0.2">
      <c r="A134" s="227">
        <v>8</v>
      </c>
      <c r="B134" s="227">
        <v>7</v>
      </c>
      <c r="C134" s="227">
        <v>4</v>
      </c>
      <c r="D134" s="227">
        <v>7</v>
      </c>
      <c r="E134" s="227"/>
      <c r="G134" s="227">
        <v>8</v>
      </c>
      <c r="H134" s="227">
        <v>7</v>
      </c>
      <c r="I134" s="227">
        <v>4</v>
      </c>
      <c r="J134" s="227">
        <v>7</v>
      </c>
      <c r="K134" s="227"/>
      <c r="M134" s="227">
        <v>8</v>
      </c>
      <c r="N134" s="227">
        <v>7</v>
      </c>
      <c r="O134" s="227">
        <v>4</v>
      </c>
      <c r="P134" s="227">
        <v>7</v>
      </c>
      <c r="Q134" s="227"/>
      <c r="S134" s="227">
        <v>8</v>
      </c>
      <c r="T134" s="227">
        <v>7</v>
      </c>
      <c r="U134" s="227">
        <v>4</v>
      </c>
      <c r="V134" s="227">
        <v>7</v>
      </c>
      <c r="W134" s="227"/>
    </row>
    <row r="135" spans="1:23" x14ac:dyDescent="0.2">
      <c r="A135" s="227">
        <v>2</v>
      </c>
      <c r="B135" s="227">
        <v>3</v>
      </c>
      <c r="C135" s="227">
        <v>5</v>
      </c>
      <c r="D135" s="227">
        <v>7</v>
      </c>
      <c r="E135" s="227"/>
      <c r="G135" s="227">
        <v>2</v>
      </c>
      <c r="H135" s="227">
        <v>3</v>
      </c>
      <c r="I135" s="227">
        <v>5</v>
      </c>
      <c r="J135" s="227">
        <v>7</v>
      </c>
      <c r="K135" s="227"/>
      <c r="M135" s="227">
        <v>2</v>
      </c>
      <c r="N135" s="227">
        <v>3</v>
      </c>
      <c r="O135" s="227">
        <v>5</v>
      </c>
      <c r="P135" s="227">
        <v>7</v>
      </c>
      <c r="Q135" s="227"/>
      <c r="S135" s="227">
        <v>2</v>
      </c>
      <c r="T135" s="227">
        <v>3</v>
      </c>
      <c r="U135" s="227">
        <v>5</v>
      </c>
      <c r="V135" s="227">
        <v>7</v>
      </c>
      <c r="W135" s="227"/>
    </row>
    <row r="136" spans="1:23" x14ac:dyDescent="0.2">
      <c r="A136" s="227">
        <v>8</v>
      </c>
      <c r="B136" s="227">
        <v>6</v>
      </c>
      <c r="C136" s="227">
        <v>1</v>
      </c>
      <c r="D136" s="227">
        <v>3</v>
      </c>
      <c r="E136" s="227"/>
      <c r="G136" s="227">
        <v>8</v>
      </c>
      <c r="H136" s="227">
        <v>6</v>
      </c>
      <c r="I136" s="227">
        <v>1</v>
      </c>
      <c r="J136" s="227">
        <v>3</v>
      </c>
      <c r="K136" s="227"/>
      <c r="M136" s="227">
        <v>8</v>
      </c>
      <c r="N136" s="227">
        <v>6</v>
      </c>
      <c r="O136" s="227">
        <v>1</v>
      </c>
      <c r="P136" s="227">
        <v>3</v>
      </c>
      <c r="Q136" s="227"/>
      <c r="S136" s="227">
        <v>8</v>
      </c>
      <c r="T136" s="227">
        <v>6</v>
      </c>
      <c r="U136" s="227">
        <v>1</v>
      </c>
      <c r="V136" s="227">
        <v>3</v>
      </c>
      <c r="W136" s="227"/>
    </row>
    <row r="137" spans="1:23" x14ac:dyDescent="0.2">
      <c r="A137" s="227">
        <v>3</v>
      </c>
      <c r="B137" s="227">
        <v>1</v>
      </c>
      <c r="C137" s="227">
        <v>4</v>
      </c>
      <c r="D137" s="227"/>
      <c r="E137" s="227"/>
      <c r="G137" s="227">
        <v>3</v>
      </c>
      <c r="H137" s="227">
        <v>1</v>
      </c>
      <c r="I137" s="227">
        <v>4</v>
      </c>
      <c r="J137" s="227"/>
      <c r="K137" s="227"/>
      <c r="M137" s="227">
        <v>3</v>
      </c>
      <c r="N137" s="227">
        <v>1</v>
      </c>
      <c r="O137" s="227">
        <v>4</v>
      </c>
      <c r="P137" s="227"/>
      <c r="Q137" s="227"/>
      <c r="S137" s="227">
        <v>3</v>
      </c>
      <c r="T137" s="227">
        <v>1</v>
      </c>
      <c r="U137" s="227">
        <v>4</v>
      </c>
      <c r="V137" s="227"/>
      <c r="W137" s="227"/>
    </row>
    <row r="138" spans="1:23" x14ac:dyDescent="0.2">
      <c r="A138" s="227">
        <v>7</v>
      </c>
      <c r="B138" s="227">
        <v>6</v>
      </c>
      <c r="C138" s="227">
        <v>2</v>
      </c>
      <c r="D138" s="227"/>
      <c r="E138" s="227"/>
      <c r="G138" s="227">
        <v>7</v>
      </c>
      <c r="H138" s="227">
        <v>6</v>
      </c>
      <c r="I138" s="227">
        <v>2</v>
      </c>
      <c r="J138" s="227"/>
      <c r="K138" s="227"/>
      <c r="M138" s="227">
        <v>7</v>
      </c>
      <c r="N138" s="227">
        <v>6</v>
      </c>
      <c r="O138" s="227">
        <v>2</v>
      </c>
      <c r="P138" s="227"/>
      <c r="Q138" s="227"/>
      <c r="S138" s="227">
        <v>7</v>
      </c>
      <c r="T138" s="227">
        <v>6</v>
      </c>
      <c r="U138" s="227">
        <v>2</v>
      </c>
      <c r="V138" s="227"/>
      <c r="W138" s="227"/>
    </row>
    <row r="139" spans="1:23" x14ac:dyDescent="0.2">
      <c r="A139" s="227">
        <v>7</v>
      </c>
      <c r="B139" s="227">
        <v>7</v>
      </c>
      <c r="C139" s="227">
        <v>8</v>
      </c>
      <c r="D139" s="227"/>
      <c r="E139" s="227"/>
      <c r="G139" s="227">
        <v>7</v>
      </c>
      <c r="H139" s="227">
        <v>7</v>
      </c>
      <c r="I139" s="227">
        <v>8</v>
      </c>
      <c r="J139" s="227"/>
      <c r="K139" s="227"/>
      <c r="M139" s="227">
        <v>7</v>
      </c>
      <c r="N139" s="227">
        <v>7</v>
      </c>
      <c r="O139" s="227">
        <v>8</v>
      </c>
      <c r="P139" s="227"/>
      <c r="Q139" s="227"/>
      <c r="S139" s="227">
        <v>7</v>
      </c>
      <c r="T139" s="227">
        <v>7</v>
      </c>
      <c r="U139" s="227">
        <v>8</v>
      </c>
      <c r="V139" s="227"/>
      <c r="W139" s="227"/>
    </row>
    <row r="140" spans="1:23" x14ac:dyDescent="0.2">
      <c r="A140" s="227">
        <v>4</v>
      </c>
      <c r="B140" s="227">
        <v>6</v>
      </c>
      <c r="C140" s="227">
        <v>2</v>
      </c>
      <c r="D140" s="227"/>
      <c r="E140" s="227"/>
      <c r="G140" s="227">
        <v>4</v>
      </c>
      <c r="H140" s="227">
        <v>6</v>
      </c>
      <c r="I140" s="227">
        <v>2</v>
      </c>
      <c r="J140" s="227"/>
      <c r="K140" s="227"/>
      <c r="M140" s="227">
        <v>4</v>
      </c>
      <c r="N140" s="227">
        <v>6</v>
      </c>
      <c r="O140" s="227">
        <v>2</v>
      </c>
      <c r="P140" s="227"/>
      <c r="Q140" s="227"/>
      <c r="S140" s="227">
        <v>4</v>
      </c>
      <c r="T140" s="227">
        <v>6</v>
      </c>
      <c r="U140" s="227">
        <v>2</v>
      </c>
      <c r="V140" s="227"/>
      <c r="W140" s="227"/>
    </row>
    <row r="141" spans="1:23" x14ac:dyDescent="0.2">
      <c r="A141" s="227">
        <v>5</v>
      </c>
      <c r="B141" s="227">
        <v>1</v>
      </c>
      <c r="C141" s="227">
        <v>4</v>
      </c>
      <c r="D141" s="227"/>
      <c r="E141" s="227"/>
      <c r="G141" s="227">
        <v>5</v>
      </c>
      <c r="H141" s="227">
        <v>1</v>
      </c>
      <c r="I141" s="227">
        <v>4</v>
      </c>
      <c r="J141" s="227"/>
      <c r="K141" s="227"/>
      <c r="M141" s="227">
        <v>5</v>
      </c>
      <c r="N141" s="227">
        <v>1</v>
      </c>
      <c r="O141" s="227">
        <v>4</v>
      </c>
      <c r="P141" s="227"/>
      <c r="Q141" s="227"/>
      <c r="S141" s="227">
        <v>5</v>
      </c>
      <c r="T141" s="227">
        <v>1</v>
      </c>
      <c r="U141" s="227">
        <v>4</v>
      </c>
      <c r="V141" s="227"/>
      <c r="W141" s="227"/>
    </row>
    <row r="142" spans="1:23" x14ac:dyDescent="0.2">
      <c r="A142" s="227">
        <v>5</v>
      </c>
      <c r="B142" s="227">
        <v>3</v>
      </c>
      <c r="C142" s="227">
        <v>1</v>
      </c>
      <c r="D142" s="227"/>
      <c r="E142" s="227"/>
      <c r="G142" s="227">
        <v>5</v>
      </c>
      <c r="H142" s="227">
        <v>3</v>
      </c>
      <c r="I142" s="227">
        <v>1</v>
      </c>
      <c r="J142" s="227"/>
      <c r="K142" s="227"/>
      <c r="M142" s="227">
        <v>5</v>
      </c>
      <c r="N142" s="227">
        <v>3</v>
      </c>
      <c r="O142" s="227">
        <v>1</v>
      </c>
      <c r="P142" s="227"/>
      <c r="Q142" s="227"/>
      <c r="S142" s="227">
        <v>5</v>
      </c>
      <c r="T142" s="227">
        <v>3</v>
      </c>
      <c r="U142" s="227">
        <v>1</v>
      </c>
      <c r="V142" s="227"/>
      <c r="W142" s="227"/>
    </row>
    <row r="143" spans="1:23" x14ac:dyDescent="0.2">
      <c r="A143" s="227">
        <v>4</v>
      </c>
      <c r="B143" s="227">
        <v>5</v>
      </c>
      <c r="C143" s="227">
        <v>6</v>
      </c>
      <c r="D143" s="227"/>
      <c r="E143" s="227"/>
      <c r="G143" s="227">
        <v>4</v>
      </c>
      <c r="H143" s="227">
        <v>5</v>
      </c>
      <c r="I143" s="227">
        <v>6</v>
      </c>
      <c r="J143" s="227"/>
      <c r="K143" s="227"/>
      <c r="M143" s="227">
        <v>4</v>
      </c>
      <c r="N143" s="227">
        <v>5</v>
      </c>
      <c r="O143" s="227">
        <v>6</v>
      </c>
      <c r="P143" s="227"/>
      <c r="Q143" s="227"/>
      <c r="S143" s="227">
        <v>4</v>
      </c>
      <c r="T143" s="227">
        <v>5</v>
      </c>
      <c r="U143" s="227">
        <v>6</v>
      </c>
      <c r="V143" s="227"/>
      <c r="W143" s="227"/>
    </row>
    <row r="144" spans="1:23" x14ac:dyDescent="0.2">
      <c r="A144" s="227">
        <v>8</v>
      </c>
      <c r="B144" s="227">
        <v>3</v>
      </c>
      <c r="C144" s="227">
        <v>6</v>
      </c>
      <c r="D144" s="227"/>
      <c r="E144" s="227"/>
      <c r="G144" s="227">
        <v>8</v>
      </c>
      <c r="H144" s="227">
        <v>3</v>
      </c>
      <c r="I144" s="227">
        <v>6</v>
      </c>
      <c r="J144" s="227"/>
      <c r="K144" s="227"/>
      <c r="M144" s="227">
        <v>8</v>
      </c>
      <c r="N144" s="227">
        <v>3</v>
      </c>
      <c r="O144" s="227">
        <v>6</v>
      </c>
      <c r="P144" s="227"/>
      <c r="Q144" s="227"/>
      <c r="S144" s="227">
        <v>8</v>
      </c>
      <c r="T144" s="227">
        <v>3</v>
      </c>
      <c r="U144" s="227">
        <v>6</v>
      </c>
      <c r="V144" s="227"/>
      <c r="W144" s="227"/>
    </row>
    <row r="145" spans="1:23" x14ac:dyDescent="0.2">
      <c r="A145" s="227">
        <v>5</v>
      </c>
      <c r="B145" s="227">
        <v>1</v>
      </c>
      <c r="C145" s="227">
        <v>1</v>
      </c>
      <c r="D145" s="227"/>
      <c r="E145" s="227"/>
      <c r="G145" s="227">
        <v>5</v>
      </c>
      <c r="H145" s="227">
        <v>1</v>
      </c>
      <c r="I145" s="227">
        <v>1</v>
      </c>
      <c r="J145" s="227"/>
      <c r="K145" s="227"/>
      <c r="M145" s="227">
        <v>5</v>
      </c>
      <c r="N145" s="227">
        <v>1</v>
      </c>
      <c r="O145" s="227">
        <v>1</v>
      </c>
      <c r="P145" s="227"/>
      <c r="Q145" s="227"/>
      <c r="S145" s="227">
        <v>5</v>
      </c>
      <c r="T145" s="227">
        <v>1</v>
      </c>
      <c r="U145" s="227">
        <v>1</v>
      </c>
      <c r="V145" s="227"/>
      <c r="W145" s="227"/>
    </row>
    <row r="146" spans="1:23" x14ac:dyDescent="0.2">
      <c r="A146" s="227">
        <v>2</v>
      </c>
      <c r="B146" s="227">
        <v>3</v>
      </c>
      <c r="C146" s="227">
        <v>2</v>
      </c>
      <c r="D146" s="227"/>
      <c r="E146" s="227"/>
      <c r="G146" s="227">
        <v>2</v>
      </c>
      <c r="H146" s="227">
        <v>3</v>
      </c>
      <c r="I146" s="227">
        <v>2</v>
      </c>
      <c r="J146" s="227"/>
      <c r="K146" s="227"/>
      <c r="M146" s="227">
        <v>2</v>
      </c>
      <c r="N146" s="227">
        <v>3</v>
      </c>
      <c r="O146" s="227">
        <v>2</v>
      </c>
      <c r="P146" s="227"/>
      <c r="Q146" s="227"/>
      <c r="S146" s="227">
        <v>2</v>
      </c>
      <c r="T146" s="227">
        <v>3</v>
      </c>
      <c r="U146" s="227">
        <v>2</v>
      </c>
      <c r="V146" s="227"/>
      <c r="W146" s="227"/>
    </row>
    <row r="147" spans="1:23" x14ac:dyDescent="0.2">
      <c r="A147" s="227">
        <v>3</v>
      </c>
      <c r="B147" s="227">
        <v>1</v>
      </c>
      <c r="C147" s="227">
        <v>4</v>
      </c>
      <c r="D147" s="227"/>
      <c r="E147" s="227"/>
      <c r="G147" s="227">
        <v>3</v>
      </c>
      <c r="H147" s="227">
        <v>1</v>
      </c>
      <c r="I147" s="227">
        <v>4</v>
      </c>
      <c r="J147" s="227"/>
      <c r="K147" s="227"/>
      <c r="M147" s="227">
        <v>3</v>
      </c>
      <c r="N147" s="227">
        <v>1</v>
      </c>
      <c r="O147" s="227">
        <v>4</v>
      </c>
      <c r="P147" s="227"/>
      <c r="Q147" s="227"/>
      <c r="S147" s="227">
        <v>3</v>
      </c>
      <c r="T147" s="227">
        <v>1</v>
      </c>
      <c r="U147" s="227">
        <v>4</v>
      </c>
      <c r="V147" s="227"/>
      <c r="W147" s="227"/>
    </row>
    <row r="148" spans="1:23" x14ac:dyDescent="0.2">
      <c r="A148" s="227">
        <v>5</v>
      </c>
      <c r="B148" s="227">
        <v>3</v>
      </c>
      <c r="C148" s="227">
        <v>4</v>
      </c>
      <c r="D148" s="227"/>
      <c r="E148" s="227"/>
      <c r="G148" s="227">
        <v>5</v>
      </c>
      <c r="H148" s="227">
        <v>3</v>
      </c>
      <c r="I148" s="227">
        <v>4</v>
      </c>
      <c r="J148" s="227"/>
      <c r="K148" s="227"/>
      <c r="M148" s="227">
        <v>5</v>
      </c>
      <c r="N148" s="227">
        <v>3</v>
      </c>
      <c r="O148" s="227">
        <v>4</v>
      </c>
      <c r="P148" s="227"/>
      <c r="Q148" s="227"/>
      <c r="S148" s="227">
        <v>5</v>
      </c>
      <c r="T148" s="227">
        <v>3</v>
      </c>
      <c r="U148" s="227">
        <v>4</v>
      </c>
      <c r="V148" s="227"/>
      <c r="W148" s="227"/>
    </row>
    <row r="149" spans="1:23" x14ac:dyDescent="0.2">
      <c r="A149" s="227">
        <v>2</v>
      </c>
      <c r="B149" s="227">
        <v>6</v>
      </c>
      <c r="C149" s="227">
        <v>6</v>
      </c>
      <c r="D149" s="227"/>
      <c r="E149" s="227"/>
      <c r="G149" s="227">
        <v>2</v>
      </c>
      <c r="H149" s="227">
        <v>6</v>
      </c>
      <c r="I149" s="227">
        <v>6</v>
      </c>
      <c r="J149" s="227"/>
      <c r="K149" s="227"/>
      <c r="M149" s="227">
        <v>2</v>
      </c>
      <c r="N149" s="227">
        <v>6</v>
      </c>
      <c r="O149" s="227">
        <v>6</v>
      </c>
      <c r="P149" s="227"/>
      <c r="Q149" s="227"/>
      <c r="S149" s="227">
        <v>2</v>
      </c>
      <c r="T149" s="227">
        <v>6</v>
      </c>
      <c r="U149" s="227">
        <v>6</v>
      </c>
      <c r="V149" s="227"/>
      <c r="W149" s="227"/>
    </row>
    <row r="150" spans="1:23" x14ac:dyDescent="0.2">
      <c r="A150" s="227">
        <v>4</v>
      </c>
      <c r="B150" s="227">
        <v>7</v>
      </c>
      <c r="C150" s="227">
        <v>1</v>
      </c>
      <c r="D150" s="227"/>
      <c r="E150" s="227"/>
      <c r="G150" s="227">
        <v>4</v>
      </c>
      <c r="H150" s="227">
        <v>7</v>
      </c>
      <c r="I150" s="227">
        <v>1</v>
      </c>
      <c r="J150" s="227"/>
      <c r="K150" s="227"/>
      <c r="M150" s="227">
        <v>4</v>
      </c>
      <c r="N150" s="227">
        <v>7</v>
      </c>
      <c r="O150" s="227">
        <v>1</v>
      </c>
      <c r="P150" s="227"/>
      <c r="Q150" s="227"/>
      <c r="S150" s="227">
        <v>4</v>
      </c>
      <c r="T150" s="227">
        <v>7</v>
      </c>
      <c r="U150" s="227">
        <v>1</v>
      </c>
      <c r="V150" s="227"/>
      <c r="W150" s="227"/>
    </row>
    <row r="151" spans="1:23" x14ac:dyDescent="0.2">
      <c r="A151" s="227">
        <v>2</v>
      </c>
      <c r="B151" s="227">
        <v>5</v>
      </c>
      <c r="C151" s="227">
        <v>6</v>
      </c>
      <c r="D151" s="227"/>
      <c r="E151" s="227"/>
      <c r="G151" s="227">
        <v>2</v>
      </c>
      <c r="H151" s="227">
        <v>5</v>
      </c>
      <c r="I151" s="227">
        <v>6</v>
      </c>
      <c r="J151" s="227"/>
      <c r="K151" s="227"/>
      <c r="M151" s="227">
        <v>2</v>
      </c>
      <c r="N151" s="227">
        <v>5</v>
      </c>
      <c r="O151" s="227">
        <v>6</v>
      </c>
      <c r="P151" s="227"/>
      <c r="Q151" s="227"/>
      <c r="S151" s="227">
        <v>2</v>
      </c>
      <c r="T151" s="227">
        <v>5</v>
      </c>
      <c r="U151" s="227">
        <v>6</v>
      </c>
      <c r="V151" s="227"/>
      <c r="W151" s="227"/>
    </row>
    <row r="152" spans="1:23" x14ac:dyDescent="0.2">
      <c r="A152" s="227">
        <v>8</v>
      </c>
      <c r="B152" s="227">
        <v>6</v>
      </c>
      <c r="C152" s="227">
        <v>4</v>
      </c>
      <c r="D152" s="227"/>
      <c r="E152" s="227"/>
      <c r="G152" s="227">
        <v>8</v>
      </c>
      <c r="H152" s="227">
        <v>6</v>
      </c>
      <c r="I152" s="227">
        <v>4</v>
      </c>
      <c r="J152" s="227"/>
      <c r="K152" s="227"/>
      <c r="M152" s="227">
        <v>8</v>
      </c>
      <c r="N152" s="227">
        <v>6</v>
      </c>
      <c r="O152" s="227">
        <v>4</v>
      </c>
      <c r="P152" s="227"/>
      <c r="Q152" s="227"/>
      <c r="S152" s="227">
        <v>8</v>
      </c>
      <c r="T152" s="227">
        <v>6</v>
      </c>
      <c r="U152" s="227">
        <v>4</v>
      </c>
      <c r="V152" s="227"/>
      <c r="W152" s="227"/>
    </row>
    <row r="153" spans="1:23" x14ac:dyDescent="0.2">
      <c r="A153" s="227">
        <v>2</v>
      </c>
      <c r="B153" s="227">
        <v>6</v>
      </c>
      <c r="C153" s="227">
        <v>4</v>
      </c>
      <c r="D153" s="227"/>
      <c r="E153" s="227"/>
      <c r="G153" s="227">
        <v>2</v>
      </c>
      <c r="H153" s="227">
        <v>6</v>
      </c>
      <c r="I153" s="227">
        <v>4</v>
      </c>
      <c r="J153" s="227"/>
      <c r="K153" s="227"/>
      <c r="M153" s="227">
        <v>2</v>
      </c>
      <c r="N153" s="227">
        <v>6</v>
      </c>
      <c r="O153" s="227">
        <v>4</v>
      </c>
      <c r="P153" s="227"/>
      <c r="Q153" s="227"/>
      <c r="S153" s="227">
        <v>2</v>
      </c>
      <c r="T153" s="227">
        <v>6</v>
      </c>
      <c r="U153" s="227">
        <v>4</v>
      </c>
      <c r="V153" s="227"/>
      <c r="W153" s="227"/>
    </row>
    <row r="154" spans="1:23" x14ac:dyDescent="0.2">
      <c r="A154" s="227">
        <v>7</v>
      </c>
      <c r="B154" s="227">
        <v>6</v>
      </c>
      <c r="C154" s="227">
        <v>8</v>
      </c>
      <c r="D154" s="227"/>
      <c r="E154" s="227"/>
      <c r="G154" s="227">
        <v>7</v>
      </c>
      <c r="H154" s="227">
        <v>6</v>
      </c>
      <c r="I154" s="227">
        <v>8</v>
      </c>
      <c r="J154" s="227"/>
      <c r="K154" s="227"/>
      <c r="M154" s="227">
        <v>7</v>
      </c>
      <c r="N154" s="227">
        <v>6</v>
      </c>
      <c r="O154" s="227">
        <v>8</v>
      </c>
      <c r="P154" s="227"/>
      <c r="Q154" s="227"/>
      <c r="S154" s="227">
        <v>7</v>
      </c>
      <c r="T154" s="227">
        <v>6</v>
      </c>
      <c r="U154" s="227">
        <v>8</v>
      </c>
      <c r="V154" s="227"/>
      <c r="W154" s="227"/>
    </row>
    <row r="155" spans="1:23" x14ac:dyDescent="0.2">
      <c r="A155" s="227">
        <v>5</v>
      </c>
      <c r="B155" s="227">
        <v>6</v>
      </c>
      <c r="C155" s="227">
        <v>8</v>
      </c>
      <c r="D155" s="227"/>
      <c r="E155" s="227"/>
      <c r="G155" s="227">
        <v>5</v>
      </c>
      <c r="H155" s="227">
        <v>6</v>
      </c>
      <c r="I155" s="227">
        <v>8</v>
      </c>
      <c r="J155" s="227"/>
      <c r="K155" s="227"/>
      <c r="M155" s="227">
        <v>5</v>
      </c>
      <c r="N155" s="227">
        <v>6</v>
      </c>
      <c r="O155" s="227">
        <v>8</v>
      </c>
      <c r="P155" s="227"/>
      <c r="Q155" s="227"/>
      <c r="S155" s="227">
        <v>5</v>
      </c>
      <c r="T155" s="227">
        <v>6</v>
      </c>
      <c r="U155" s="227">
        <v>8</v>
      </c>
      <c r="V155" s="227"/>
      <c r="W155" s="227"/>
    </row>
    <row r="156" spans="1:23" x14ac:dyDescent="0.2">
      <c r="A156" s="227">
        <v>7</v>
      </c>
      <c r="B156" s="227">
        <v>6</v>
      </c>
      <c r="C156" s="227">
        <v>6</v>
      </c>
      <c r="D156" s="227"/>
      <c r="E156" s="227"/>
      <c r="G156" s="227">
        <v>7</v>
      </c>
      <c r="H156" s="227">
        <v>6</v>
      </c>
      <c r="I156" s="227">
        <v>6</v>
      </c>
      <c r="J156" s="227"/>
      <c r="K156" s="227"/>
      <c r="M156" s="227">
        <v>7</v>
      </c>
      <c r="N156" s="227">
        <v>6</v>
      </c>
      <c r="O156" s="227">
        <v>6</v>
      </c>
      <c r="P156" s="227"/>
      <c r="Q156" s="227"/>
      <c r="S156" s="227">
        <v>7</v>
      </c>
      <c r="T156" s="227">
        <v>6</v>
      </c>
      <c r="U156" s="227">
        <v>6</v>
      </c>
      <c r="V156" s="227"/>
      <c r="W156" s="227"/>
    </row>
    <row r="157" spans="1:23" x14ac:dyDescent="0.2">
      <c r="A157" s="227">
        <v>8</v>
      </c>
      <c r="B157" s="227">
        <v>1</v>
      </c>
      <c r="C157" s="227">
        <v>8</v>
      </c>
      <c r="D157" s="227"/>
      <c r="E157" s="227"/>
      <c r="G157" s="227">
        <v>8</v>
      </c>
      <c r="H157" s="227">
        <v>1</v>
      </c>
      <c r="I157" s="227">
        <v>8</v>
      </c>
      <c r="J157" s="227"/>
      <c r="K157" s="227"/>
      <c r="M157" s="227">
        <v>8</v>
      </c>
      <c r="N157" s="227">
        <v>1</v>
      </c>
      <c r="O157" s="227">
        <v>8</v>
      </c>
      <c r="P157" s="227"/>
      <c r="Q157" s="227"/>
      <c r="S157" s="227">
        <v>8</v>
      </c>
      <c r="T157" s="227">
        <v>1</v>
      </c>
      <c r="U157" s="227">
        <v>8</v>
      </c>
      <c r="V157" s="227"/>
      <c r="W157" s="227"/>
    </row>
    <row r="158" spans="1:23" x14ac:dyDescent="0.2">
      <c r="A158" s="227">
        <v>5</v>
      </c>
      <c r="B158" s="227">
        <v>5</v>
      </c>
      <c r="C158" s="227">
        <v>8</v>
      </c>
      <c r="D158" s="227"/>
      <c r="E158" s="227"/>
      <c r="G158" s="227">
        <v>5</v>
      </c>
      <c r="H158" s="227">
        <v>5</v>
      </c>
      <c r="I158" s="227">
        <v>8</v>
      </c>
      <c r="J158" s="227"/>
      <c r="K158" s="227"/>
      <c r="M158" s="227">
        <v>5</v>
      </c>
      <c r="N158" s="227">
        <v>5</v>
      </c>
      <c r="O158" s="227">
        <v>8</v>
      </c>
      <c r="P158" s="227"/>
      <c r="Q158" s="227"/>
      <c r="S158" s="227">
        <v>5</v>
      </c>
      <c r="T158" s="227">
        <v>5</v>
      </c>
      <c r="U158" s="227">
        <v>8</v>
      </c>
      <c r="V158" s="227"/>
      <c r="W158" s="227"/>
    </row>
    <row r="159" spans="1:23" x14ac:dyDescent="0.2">
      <c r="A159" s="227">
        <v>2</v>
      </c>
      <c r="B159" s="227">
        <v>7</v>
      </c>
      <c r="C159" s="227">
        <v>2</v>
      </c>
      <c r="D159" s="227"/>
      <c r="E159" s="227"/>
      <c r="G159" s="227">
        <v>2</v>
      </c>
      <c r="H159" s="227">
        <v>7</v>
      </c>
      <c r="I159" s="227">
        <v>2</v>
      </c>
      <c r="J159" s="227"/>
      <c r="K159" s="227"/>
      <c r="M159" s="227">
        <v>2</v>
      </c>
      <c r="N159" s="227">
        <v>7</v>
      </c>
      <c r="O159" s="227">
        <v>2</v>
      </c>
      <c r="P159" s="227"/>
      <c r="Q159" s="227"/>
      <c r="S159" s="227">
        <v>2</v>
      </c>
      <c r="T159" s="227">
        <v>7</v>
      </c>
      <c r="U159" s="227">
        <v>2</v>
      </c>
      <c r="V159" s="227"/>
      <c r="W159" s="227"/>
    </row>
    <row r="160" spans="1:23" x14ac:dyDescent="0.2">
      <c r="A160" s="227">
        <v>7</v>
      </c>
      <c r="B160" s="227">
        <v>3</v>
      </c>
      <c r="C160" s="227">
        <v>2</v>
      </c>
      <c r="D160" s="227"/>
      <c r="E160" s="227"/>
      <c r="G160" s="227">
        <v>7</v>
      </c>
      <c r="H160" s="227">
        <v>3</v>
      </c>
      <c r="I160" s="227">
        <v>2</v>
      </c>
      <c r="J160" s="227"/>
      <c r="K160" s="227"/>
      <c r="M160" s="227">
        <v>7</v>
      </c>
      <c r="N160" s="227">
        <v>3</v>
      </c>
      <c r="O160" s="227">
        <v>2</v>
      </c>
      <c r="P160" s="227"/>
      <c r="Q160" s="227"/>
      <c r="S160" s="227">
        <v>7</v>
      </c>
      <c r="T160" s="227">
        <v>3</v>
      </c>
      <c r="U160" s="227">
        <v>2</v>
      </c>
      <c r="V160" s="227"/>
      <c r="W160" s="227"/>
    </row>
    <row r="161" spans="1:23" x14ac:dyDescent="0.2">
      <c r="A161" s="227">
        <v>8</v>
      </c>
      <c r="B161" s="227">
        <v>3</v>
      </c>
      <c r="C161" s="227">
        <v>6</v>
      </c>
      <c r="D161" s="227"/>
      <c r="E161" s="227"/>
      <c r="G161" s="227">
        <v>8</v>
      </c>
      <c r="H161" s="227">
        <v>3</v>
      </c>
      <c r="I161" s="227">
        <v>6</v>
      </c>
      <c r="J161" s="227"/>
      <c r="K161" s="227"/>
      <c r="M161" s="227">
        <v>8</v>
      </c>
      <c r="N161" s="227">
        <v>3</v>
      </c>
      <c r="O161" s="227">
        <v>6</v>
      </c>
      <c r="P161" s="227"/>
      <c r="Q161" s="227"/>
      <c r="S161" s="227">
        <v>8</v>
      </c>
      <c r="T161" s="227">
        <v>3</v>
      </c>
      <c r="U161" s="227">
        <v>6</v>
      </c>
      <c r="V161" s="227"/>
      <c r="W161" s="227"/>
    </row>
    <row r="162" spans="1:23" x14ac:dyDescent="0.2">
      <c r="A162" s="227">
        <v>4</v>
      </c>
      <c r="B162" s="227">
        <v>1</v>
      </c>
      <c r="C162" s="227">
        <v>8</v>
      </c>
      <c r="D162" s="227"/>
      <c r="E162" s="227"/>
      <c r="G162" s="227">
        <v>4</v>
      </c>
      <c r="H162" s="227">
        <v>1</v>
      </c>
      <c r="I162" s="227">
        <v>8</v>
      </c>
      <c r="J162" s="227"/>
      <c r="K162" s="227"/>
      <c r="M162" s="227">
        <v>4</v>
      </c>
      <c r="N162" s="227">
        <v>1</v>
      </c>
      <c r="O162" s="227">
        <v>8</v>
      </c>
      <c r="P162" s="227"/>
      <c r="Q162" s="227"/>
      <c r="S162" s="227">
        <v>4</v>
      </c>
      <c r="T162" s="227">
        <v>1</v>
      </c>
      <c r="U162" s="227">
        <v>8</v>
      </c>
      <c r="V162" s="227"/>
      <c r="W162" s="227"/>
    </row>
    <row r="163" spans="1:23" x14ac:dyDescent="0.2">
      <c r="A163" s="227">
        <v>4</v>
      </c>
      <c r="B163" s="227">
        <v>5</v>
      </c>
      <c r="C163" s="227">
        <v>4</v>
      </c>
      <c r="D163" s="227"/>
      <c r="E163" s="227"/>
      <c r="G163" s="227">
        <v>4</v>
      </c>
      <c r="H163" s="227">
        <v>5</v>
      </c>
      <c r="I163" s="227">
        <v>4</v>
      </c>
      <c r="J163" s="227"/>
      <c r="K163" s="227"/>
      <c r="M163" s="227">
        <v>4</v>
      </c>
      <c r="N163" s="227">
        <v>5</v>
      </c>
      <c r="O163" s="227">
        <v>4</v>
      </c>
      <c r="P163" s="227"/>
      <c r="Q163" s="227"/>
      <c r="S163" s="227">
        <v>4</v>
      </c>
      <c r="T163" s="227">
        <v>5</v>
      </c>
      <c r="U163" s="227">
        <v>4</v>
      </c>
      <c r="V163" s="227"/>
      <c r="W163" s="227"/>
    </row>
    <row r="164" spans="1:23" x14ac:dyDescent="0.2">
      <c r="A164" s="227">
        <v>5</v>
      </c>
      <c r="B164" s="227">
        <v>3</v>
      </c>
      <c r="C164" s="227">
        <v>2</v>
      </c>
      <c r="D164" s="227"/>
      <c r="E164" s="227"/>
      <c r="G164" s="227">
        <v>5</v>
      </c>
      <c r="H164" s="227">
        <v>3</v>
      </c>
      <c r="I164" s="227">
        <v>2</v>
      </c>
      <c r="J164" s="227"/>
      <c r="K164" s="227"/>
      <c r="M164" s="227">
        <v>5</v>
      </c>
      <c r="N164" s="227">
        <v>3</v>
      </c>
      <c r="O164" s="227">
        <v>2</v>
      </c>
      <c r="P164" s="227"/>
      <c r="Q164" s="227"/>
      <c r="S164" s="227">
        <v>5</v>
      </c>
      <c r="T164" s="227">
        <v>3</v>
      </c>
      <c r="U164" s="227">
        <v>2</v>
      </c>
      <c r="V164" s="227"/>
      <c r="W164" s="227"/>
    </row>
    <row r="165" spans="1:23" x14ac:dyDescent="0.2">
      <c r="A165" s="227">
        <v>4</v>
      </c>
      <c r="B165" s="227">
        <v>5</v>
      </c>
      <c r="C165" s="227">
        <v>4</v>
      </c>
      <c r="D165" s="227"/>
      <c r="E165" s="227"/>
      <c r="G165" s="227">
        <v>4</v>
      </c>
      <c r="H165" s="227">
        <v>5</v>
      </c>
      <c r="I165" s="227">
        <v>4</v>
      </c>
      <c r="J165" s="227"/>
      <c r="K165" s="227"/>
      <c r="M165" s="227">
        <v>4</v>
      </c>
      <c r="N165" s="227">
        <v>5</v>
      </c>
      <c r="O165" s="227">
        <v>4</v>
      </c>
      <c r="P165" s="227"/>
      <c r="Q165" s="227"/>
      <c r="S165" s="227">
        <v>4</v>
      </c>
      <c r="T165" s="227">
        <v>5</v>
      </c>
      <c r="U165" s="227">
        <v>4</v>
      </c>
      <c r="V165" s="227"/>
      <c r="W165" s="227"/>
    </row>
    <row r="166" spans="1:23" x14ac:dyDescent="0.2">
      <c r="A166" s="227">
        <v>2</v>
      </c>
      <c r="B166" s="227">
        <v>6</v>
      </c>
      <c r="C166" s="227">
        <v>4</v>
      </c>
      <c r="D166" s="227"/>
      <c r="E166" s="227"/>
      <c r="G166" s="227">
        <v>2</v>
      </c>
      <c r="H166" s="227">
        <v>6</v>
      </c>
      <c r="I166" s="227">
        <v>4</v>
      </c>
      <c r="J166" s="227"/>
      <c r="K166" s="227"/>
      <c r="M166" s="227">
        <v>2</v>
      </c>
      <c r="N166" s="227">
        <v>6</v>
      </c>
      <c r="O166" s="227">
        <v>4</v>
      </c>
      <c r="P166" s="227"/>
      <c r="Q166" s="227"/>
      <c r="S166" s="227">
        <v>2</v>
      </c>
      <c r="T166" s="227">
        <v>6</v>
      </c>
      <c r="U166" s="227">
        <v>4</v>
      </c>
      <c r="V166" s="227"/>
      <c r="W166" s="227"/>
    </row>
    <row r="167" spans="1:23" x14ac:dyDescent="0.2">
      <c r="A167" s="227">
        <v>2</v>
      </c>
      <c r="B167" s="227">
        <v>6</v>
      </c>
      <c r="C167" s="227">
        <v>6</v>
      </c>
      <c r="D167" s="227"/>
      <c r="E167" s="227"/>
      <c r="G167" s="227">
        <v>2</v>
      </c>
      <c r="H167" s="227">
        <v>6</v>
      </c>
      <c r="I167" s="227">
        <v>6</v>
      </c>
      <c r="J167" s="227"/>
      <c r="K167" s="227"/>
      <c r="M167" s="227">
        <v>2</v>
      </c>
      <c r="N167" s="227">
        <v>6</v>
      </c>
      <c r="O167" s="227">
        <v>6</v>
      </c>
      <c r="P167" s="227"/>
      <c r="Q167" s="227"/>
      <c r="S167" s="227">
        <v>2</v>
      </c>
      <c r="T167" s="227">
        <v>6</v>
      </c>
      <c r="U167" s="227">
        <v>6</v>
      </c>
      <c r="V167" s="227"/>
      <c r="W167" s="227"/>
    </row>
    <row r="168" spans="1:23" x14ac:dyDescent="0.2">
      <c r="A168" s="227">
        <v>4</v>
      </c>
      <c r="B168" s="227">
        <v>5</v>
      </c>
      <c r="C168" s="227">
        <v>4</v>
      </c>
      <c r="D168" s="227"/>
      <c r="E168" s="227"/>
      <c r="G168" s="227">
        <v>4</v>
      </c>
      <c r="H168" s="227">
        <v>5</v>
      </c>
      <c r="I168" s="227">
        <v>4</v>
      </c>
      <c r="J168" s="227"/>
      <c r="K168" s="227"/>
      <c r="M168" s="227">
        <v>4</v>
      </c>
      <c r="N168" s="227">
        <v>5</v>
      </c>
      <c r="O168" s="227">
        <v>4</v>
      </c>
      <c r="P168" s="227"/>
      <c r="Q168" s="227"/>
      <c r="S168" s="227">
        <v>4</v>
      </c>
      <c r="T168" s="227">
        <v>5</v>
      </c>
      <c r="U168" s="227">
        <v>4</v>
      </c>
      <c r="V168" s="227"/>
      <c r="W168" s="227"/>
    </row>
    <row r="169" spans="1:23" x14ac:dyDescent="0.2">
      <c r="A169" s="227">
        <v>8</v>
      </c>
      <c r="B169" s="227"/>
      <c r="C169" s="227">
        <v>8</v>
      </c>
      <c r="D169" s="227"/>
      <c r="E169" s="227"/>
      <c r="G169" s="227">
        <v>8</v>
      </c>
      <c r="H169" s="227"/>
      <c r="I169" s="227">
        <v>8</v>
      </c>
      <c r="J169" s="227"/>
      <c r="K169" s="227"/>
      <c r="M169" s="227">
        <v>8</v>
      </c>
      <c r="N169" s="227"/>
      <c r="O169" s="227">
        <v>8</v>
      </c>
      <c r="P169" s="227"/>
      <c r="Q169" s="227"/>
      <c r="S169" s="227">
        <v>8</v>
      </c>
      <c r="T169" s="227"/>
      <c r="U169" s="227">
        <v>8</v>
      </c>
      <c r="V169" s="227"/>
      <c r="W169" s="227"/>
    </row>
    <row r="170" spans="1:23" x14ac:dyDescent="0.2">
      <c r="A170" s="227">
        <v>5</v>
      </c>
      <c r="B170" s="227"/>
      <c r="C170" s="227">
        <v>6</v>
      </c>
      <c r="D170" s="227"/>
      <c r="E170" s="227"/>
      <c r="G170" s="227">
        <v>5</v>
      </c>
      <c r="H170" s="227"/>
      <c r="I170" s="227">
        <v>6</v>
      </c>
      <c r="J170" s="227"/>
      <c r="K170" s="227"/>
      <c r="M170" s="227">
        <v>5</v>
      </c>
      <c r="N170" s="227"/>
      <c r="O170" s="227">
        <v>6</v>
      </c>
      <c r="P170" s="227"/>
      <c r="Q170" s="227"/>
      <c r="S170" s="227">
        <v>5</v>
      </c>
      <c r="T170" s="227"/>
      <c r="U170" s="227">
        <v>6</v>
      </c>
      <c r="V170" s="227"/>
      <c r="W170" s="227"/>
    </row>
    <row r="171" spans="1:23" x14ac:dyDescent="0.2">
      <c r="A171" s="227">
        <v>8</v>
      </c>
      <c r="B171" s="227"/>
      <c r="C171" s="227">
        <v>8</v>
      </c>
      <c r="D171" s="227"/>
      <c r="E171" s="227"/>
      <c r="G171" s="227">
        <v>8</v>
      </c>
      <c r="H171" s="227"/>
      <c r="I171" s="227">
        <v>8</v>
      </c>
      <c r="J171" s="227"/>
      <c r="K171" s="227"/>
      <c r="M171" s="227">
        <v>8</v>
      </c>
      <c r="N171" s="227"/>
      <c r="O171" s="227">
        <v>8</v>
      </c>
      <c r="P171" s="227"/>
      <c r="Q171" s="227"/>
      <c r="S171" s="227">
        <v>8</v>
      </c>
      <c r="T171" s="227"/>
      <c r="U171" s="227">
        <v>8</v>
      </c>
      <c r="V171" s="227"/>
      <c r="W171" s="227"/>
    </row>
    <row r="172" spans="1:23" x14ac:dyDescent="0.2">
      <c r="A172" s="227">
        <v>7</v>
      </c>
      <c r="B172" s="227"/>
      <c r="C172" s="227">
        <v>4</v>
      </c>
      <c r="D172" s="227"/>
      <c r="E172" s="227"/>
      <c r="G172" s="227">
        <v>7</v>
      </c>
      <c r="H172" s="227"/>
      <c r="I172" s="227">
        <v>4</v>
      </c>
      <c r="J172" s="227"/>
      <c r="K172" s="227"/>
      <c r="M172" s="227">
        <v>7</v>
      </c>
      <c r="N172" s="227"/>
      <c r="O172" s="227">
        <v>4</v>
      </c>
      <c r="P172" s="227"/>
      <c r="Q172" s="227"/>
      <c r="S172" s="227">
        <v>7</v>
      </c>
      <c r="T172" s="227"/>
      <c r="U172" s="227">
        <v>4</v>
      </c>
      <c r="V172" s="227"/>
      <c r="W172" s="227"/>
    </row>
    <row r="173" spans="1:23" x14ac:dyDescent="0.2">
      <c r="A173" s="227">
        <v>5</v>
      </c>
      <c r="B173" s="227"/>
      <c r="C173" s="227">
        <v>6</v>
      </c>
      <c r="D173" s="227"/>
      <c r="E173" s="227"/>
      <c r="G173" s="227">
        <v>5</v>
      </c>
      <c r="H173" s="227"/>
      <c r="I173" s="227">
        <v>6</v>
      </c>
      <c r="J173" s="227"/>
      <c r="K173" s="227"/>
      <c r="M173" s="227">
        <v>5</v>
      </c>
      <c r="N173" s="227"/>
      <c r="O173" s="227">
        <v>6</v>
      </c>
      <c r="P173" s="227"/>
      <c r="Q173" s="227"/>
      <c r="S173" s="227">
        <v>5</v>
      </c>
      <c r="T173" s="227"/>
      <c r="U173" s="227">
        <v>6</v>
      </c>
      <c r="V173" s="227"/>
      <c r="W173" s="227"/>
    </row>
    <row r="174" spans="1:23" x14ac:dyDescent="0.2">
      <c r="A174" s="227">
        <v>3</v>
      </c>
      <c r="B174" s="227"/>
      <c r="C174" s="227">
        <v>1</v>
      </c>
      <c r="D174" s="227"/>
      <c r="E174" s="227"/>
      <c r="G174" s="227">
        <v>3</v>
      </c>
      <c r="H174" s="227"/>
      <c r="I174" s="227">
        <v>1</v>
      </c>
      <c r="J174" s="227"/>
      <c r="K174" s="227"/>
      <c r="M174" s="227">
        <v>3</v>
      </c>
      <c r="N174" s="227"/>
      <c r="O174" s="227">
        <v>1</v>
      </c>
      <c r="P174" s="227"/>
      <c r="Q174" s="227"/>
      <c r="S174" s="227">
        <v>3</v>
      </c>
      <c r="T174" s="227"/>
      <c r="U174" s="227">
        <v>1</v>
      </c>
      <c r="V174" s="227"/>
      <c r="W174" s="227"/>
    </row>
    <row r="175" spans="1:23" x14ac:dyDescent="0.2">
      <c r="A175" s="227">
        <v>3</v>
      </c>
      <c r="B175" s="227"/>
      <c r="C175" s="227"/>
      <c r="D175" s="227"/>
      <c r="E175" s="227"/>
      <c r="G175" s="227">
        <v>3</v>
      </c>
      <c r="H175" s="227"/>
      <c r="I175" s="227"/>
      <c r="J175" s="227"/>
      <c r="K175" s="227"/>
      <c r="M175" s="227">
        <v>3</v>
      </c>
      <c r="N175" s="227"/>
      <c r="O175" s="227"/>
      <c r="P175" s="227"/>
      <c r="Q175" s="227"/>
      <c r="S175" s="227">
        <v>3</v>
      </c>
      <c r="T175" s="227"/>
      <c r="U175" s="227"/>
      <c r="V175" s="227"/>
      <c r="W175" s="227"/>
    </row>
    <row r="176" spans="1:23" x14ac:dyDescent="0.2">
      <c r="A176" s="227">
        <v>3</v>
      </c>
      <c r="B176" s="227"/>
      <c r="C176" s="227"/>
      <c r="D176" s="227"/>
      <c r="E176" s="227"/>
      <c r="G176" s="227">
        <v>3</v>
      </c>
      <c r="H176" s="227"/>
      <c r="I176" s="227"/>
      <c r="J176" s="227"/>
      <c r="K176" s="227"/>
      <c r="M176" s="227">
        <v>3</v>
      </c>
      <c r="N176" s="227"/>
      <c r="O176" s="227"/>
      <c r="P176" s="227"/>
      <c r="Q176" s="227"/>
      <c r="S176" s="227">
        <v>3</v>
      </c>
      <c r="T176" s="227"/>
      <c r="U176" s="227"/>
      <c r="V176" s="227"/>
      <c r="W176" s="227"/>
    </row>
    <row r="177" spans="1:23" x14ac:dyDescent="0.2">
      <c r="A177" s="227">
        <v>7</v>
      </c>
      <c r="B177" s="227"/>
      <c r="C177" s="227"/>
      <c r="D177" s="227"/>
      <c r="E177" s="227"/>
      <c r="G177" s="227">
        <v>7</v>
      </c>
      <c r="H177" s="227"/>
      <c r="I177" s="227"/>
      <c r="J177" s="227"/>
      <c r="K177" s="227"/>
      <c r="M177" s="227">
        <v>7</v>
      </c>
      <c r="N177" s="227"/>
      <c r="O177" s="227"/>
      <c r="P177" s="227"/>
      <c r="Q177" s="227"/>
      <c r="S177" s="227">
        <v>7</v>
      </c>
      <c r="T177" s="227"/>
      <c r="U177" s="227"/>
      <c r="V177" s="227"/>
      <c r="W177" s="227"/>
    </row>
    <row r="178" spans="1:23" x14ac:dyDescent="0.2">
      <c r="A178" s="227">
        <v>3</v>
      </c>
      <c r="B178" s="227"/>
      <c r="C178" s="227"/>
      <c r="D178" s="227"/>
      <c r="E178" s="227"/>
      <c r="G178" s="227">
        <v>3</v>
      </c>
      <c r="H178" s="227"/>
      <c r="I178" s="227"/>
      <c r="J178" s="227"/>
      <c r="K178" s="227"/>
      <c r="M178" s="227">
        <v>3</v>
      </c>
      <c r="N178" s="227"/>
      <c r="O178" s="227"/>
      <c r="P178" s="227"/>
      <c r="Q178" s="227"/>
      <c r="S178" s="227">
        <v>3</v>
      </c>
      <c r="T178" s="227"/>
      <c r="U178" s="227"/>
      <c r="V178" s="227"/>
      <c r="W178" s="227"/>
    </row>
    <row r="179" spans="1:23" x14ac:dyDescent="0.2">
      <c r="A179" s="227">
        <v>6</v>
      </c>
      <c r="B179" s="227"/>
      <c r="C179" s="227"/>
      <c r="D179" s="227"/>
      <c r="E179" s="227"/>
      <c r="G179" s="227">
        <v>6</v>
      </c>
      <c r="H179" s="227"/>
      <c r="I179" s="227"/>
      <c r="J179" s="227"/>
      <c r="K179" s="227"/>
      <c r="M179" s="227">
        <v>6</v>
      </c>
      <c r="N179" s="227"/>
      <c r="O179" s="227"/>
      <c r="P179" s="227"/>
      <c r="Q179" s="227"/>
      <c r="S179" s="227">
        <v>6</v>
      </c>
      <c r="T179" s="227"/>
      <c r="U179" s="227"/>
      <c r="V179" s="227"/>
      <c r="W179" s="227"/>
    </row>
    <row r="180" spans="1:23" x14ac:dyDescent="0.2">
      <c r="A180" s="227">
        <v>2</v>
      </c>
      <c r="B180" s="227"/>
      <c r="C180" s="227"/>
      <c r="D180" s="227"/>
      <c r="E180" s="227"/>
      <c r="G180" s="227">
        <v>2</v>
      </c>
      <c r="H180" s="227"/>
      <c r="I180" s="227"/>
      <c r="J180" s="227"/>
      <c r="K180" s="227"/>
      <c r="M180" s="227">
        <v>2</v>
      </c>
      <c r="N180" s="227"/>
      <c r="O180" s="227"/>
      <c r="P180" s="227"/>
      <c r="Q180" s="227"/>
      <c r="S180" s="227">
        <v>2</v>
      </c>
      <c r="T180" s="227"/>
      <c r="U180" s="227"/>
      <c r="V180" s="227"/>
      <c r="W180" s="227"/>
    </row>
    <row r="181" spans="1:23" x14ac:dyDescent="0.2">
      <c r="A181" s="227">
        <v>8</v>
      </c>
      <c r="B181" s="227"/>
      <c r="C181" s="227"/>
      <c r="D181" s="227"/>
      <c r="E181" s="227"/>
      <c r="G181" s="227">
        <v>8</v>
      </c>
      <c r="H181" s="227"/>
      <c r="I181" s="227"/>
      <c r="J181" s="227"/>
      <c r="K181" s="227"/>
      <c r="M181" s="227">
        <v>8</v>
      </c>
      <c r="N181" s="227"/>
      <c r="O181" s="227"/>
      <c r="P181" s="227"/>
      <c r="Q181" s="227"/>
      <c r="S181" s="227">
        <v>8</v>
      </c>
      <c r="T181" s="227"/>
      <c r="U181" s="227"/>
      <c r="V181" s="227"/>
      <c r="W181" s="227"/>
    </row>
    <row r="182" spans="1:23" x14ac:dyDescent="0.2">
      <c r="A182" s="227">
        <v>7</v>
      </c>
      <c r="B182" s="227"/>
      <c r="C182" s="227"/>
      <c r="D182" s="227"/>
      <c r="E182" s="227"/>
      <c r="G182" s="227">
        <v>7</v>
      </c>
      <c r="H182" s="227"/>
      <c r="I182" s="227"/>
      <c r="J182" s="227"/>
      <c r="K182" s="227"/>
      <c r="M182" s="227">
        <v>7</v>
      </c>
      <c r="N182" s="227"/>
      <c r="O182" s="227"/>
      <c r="P182" s="227"/>
      <c r="Q182" s="227"/>
      <c r="S182" s="227">
        <v>7</v>
      </c>
      <c r="T182" s="227"/>
      <c r="U182" s="227"/>
      <c r="V182" s="227"/>
      <c r="W182" s="227"/>
    </row>
    <row r="183" spans="1:23" x14ac:dyDescent="0.2">
      <c r="A183" s="227">
        <v>7</v>
      </c>
      <c r="B183" s="227"/>
      <c r="C183" s="227"/>
      <c r="D183" s="227"/>
      <c r="E183" s="227"/>
      <c r="G183" s="227">
        <v>7</v>
      </c>
      <c r="H183" s="227"/>
      <c r="I183" s="227"/>
      <c r="J183" s="227"/>
      <c r="K183" s="227"/>
      <c r="M183" s="227">
        <v>7</v>
      </c>
      <c r="N183" s="227"/>
      <c r="O183" s="227"/>
      <c r="P183" s="227"/>
      <c r="Q183" s="227"/>
      <c r="S183" s="227">
        <v>7</v>
      </c>
      <c r="T183" s="227"/>
      <c r="U183" s="227"/>
      <c r="V183" s="227"/>
      <c r="W183" s="227"/>
    </row>
    <row r="184" spans="1:23" x14ac:dyDescent="0.2">
      <c r="A184" s="227">
        <v>8</v>
      </c>
      <c r="B184" s="227"/>
      <c r="C184" s="227"/>
      <c r="D184" s="227"/>
      <c r="E184" s="227"/>
      <c r="G184" s="227">
        <v>8</v>
      </c>
      <c r="H184" s="227"/>
      <c r="I184" s="227"/>
      <c r="J184" s="227"/>
      <c r="K184" s="227"/>
      <c r="M184" s="227">
        <v>8</v>
      </c>
      <c r="N184" s="227"/>
      <c r="O184" s="227"/>
      <c r="P184" s="227"/>
      <c r="Q184" s="227"/>
      <c r="S184" s="227">
        <v>8</v>
      </c>
      <c r="T184" s="227"/>
      <c r="U184" s="227"/>
      <c r="V184" s="227"/>
      <c r="W184" s="227"/>
    </row>
    <row r="185" spans="1:23" x14ac:dyDescent="0.2">
      <c r="A185" s="227">
        <v>4</v>
      </c>
      <c r="B185" s="227"/>
      <c r="C185" s="227"/>
      <c r="D185" s="227"/>
      <c r="E185" s="227"/>
      <c r="G185" s="227">
        <v>4</v>
      </c>
      <c r="H185" s="227"/>
      <c r="I185" s="227"/>
      <c r="J185" s="227"/>
      <c r="K185" s="227"/>
      <c r="M185" s="227">
        <v>4</v>
      </c>
      <c r="N185" s="227"/>
      <c r="O185" s="227"/>
      <c r="P185" s="227"/>
      <c r="Q185" s="227"/>
      <c r="S185" s="227">
        <v>4</v>
      </c>
      <c r="T185" s="227"/>
      <c r="U185" s="227"/>
      <c r="V185" s="227"/>
      <c r="W185" s="227"/>
    </row>
    <row r="186" spans="1:23" x14ac:dyDescent="0.2">
      <c r="A186" s="227">
        <v>5</v>
      </c>
      <c r="B186" s="227"/>
      <c r="C186" s="227"/>
      <c r="D186" s="227"/>
      <c r="E186" s="227"/>
      <c r="G186" s="227">
        <v>5</v>
      </c>
      <c r="H186" s="227"/>
      <c r="I186" s="227"/>
      <c r="J186" s="227"/>
      <c r="K186" s="227"/>
      <c r="M186" s="227">
        <v>5</v>
      </c>
      <c r="N186" s="227"/>
      <c r="O186" s="227"/>
      <c r="P186" s="227"/>
      <c r="Q186" s="227"/>
      <c r="S186" s="227">
        <v>5</v>
      </c>
      <c r="T186" s="227"/>
      <c r="U186" s="227"/>
      <c r="V186" s="227"/>
      <c r="W186" s="227"/>
    </row>
    <row r="187" spans="1:23" x14ac:dyDescent="0.2">
      <c r="A187" s="227">
        <v>3</v>
      </c>
      <c r="B187" s="227"/>
      <c r="C187" s="227"/>
      <c r="D187" s="227"/>
      <c r="E187" s="227"/>
      <c r="G187" s="227">
        <v>3</v>
      </c>
      <c r="H187" s="227"/>
      <c r="I187" s="227"/>
      <c r="J187" s="227"/>
      <c r="K187" s="227"/>
      <c r="M187" s="227">
        <v>3</v>
      </c>
      <c r="N187" s="227"/>
      <c r="O187" s="227"/>
      <c r="P187" s="227"/>
      <c r="Q187" s="227"/>
      <c r="S187" s="227">
        <v>3</v>
      </c>
      <c r="T187" s="227"/>
      <c r="U187" s="227"/>
      <c r="V187" s="227"/>
      <c r="W187" s="227"/>
    </row>
    <row r="188" spans="1:23" x14ac:dyDescent="0.2">
      <c r="A188" s="227">
        <v>4</v>
      </c>
      <c r="B188" s="227"/>
      <c r="C188" s="227"/>
      <c r="D188" s="227"/>
      <c r="E188" s="227"/>
      <c r="G188" s="227">
        <v>4</v>
      </c>
      <c r="H188" s="227"/>
      <c r="I188" s="227"/>
      <c r="J188" s="227"/>
      <c r="K188" s="227"/>
      <c r="M188" s="227">
        <v>4</v>
      </c>
      <c r="N188" s="227"/>
      <c r="O188" s="227"/>
      <c r="P188" s="227"/>
      <c r="Q188" s="227"/>
      <c r="S188" s="227">
        <v>4</v>
      </c>
      <c r="T188" s="227"/>
      <c r="U188" s="227"/>
      <c r="V188" s="227"/>
      <c r="W188" s="227"/>
    </row>
    <row r="189" spans="1:23" x14ac:dyDescent="0.2">
      <c r="A189" s="227">
        <v>3</v>
      </c>
      <c r="B189" s="227"/>
      <c r="C189" s="227"/>
      <c r="D189" s="227"/>
      <c r="E189" s="227"/>
      <c r="G189" s="227">
        <v>3</v>
      </c>
      <c r="H189" s="227"/>
      <c r="I189" s="227"/>
      <c r="J189" s="227"/>
      <c r="K189" s="227"/>
      <c r="M189" s="227">
        <v>3</v>
      </c>
      <c r="N189" s="227"/>
      <c r="O189" s="227"/>
      <c r="P189" s="227"/>
      <c r="Q189" s="227"/>
      <c r="S189" s="227">
        <v>3</v>
      </c>
      <c r="T189" s="227"/>
      <c r="U189" s="227"/>
      <c r="V189" s="227"/>
      <c r="W189" s="227"/>
    </row>
    <row r="190" spans="1:23" x14ac:dyDescent="0.2">
      <c r="A190" s="227">
        <v>8</v>
      </c>
      <c r="B190" s="227"/>
      <c r="C190" s="227"/>
      <c r="D190" s="227"/>
      <c r="E190" s="227"/>
      <c r="G190" s="227">
        <v>8</v>
      </c>
      <c r="H190" s="227"/>
      <c r="I190" s="227"/>
      <c r="J190" s="227"/>
      <c r="K190" s="227"/>
      <c r="M190" s="227">
        <v>8</v>
      </c>
      <c r="N190" s="227"/>
      <c r="O190" s="227"/>
      <c r="P190" s="227"/>
      <c r="Q190" s="227"/>
      <c r="S190" s="227">
        <v>8</v>
      </c>
      <c r="T190" s="227"/>
      <c r="U190" s="227"/>
      <c r="V190" s="227"/>
      <c r="W190" s="227"/>
    </row>
    <row r="191" spans="1:23" x14ac:dyDescent="0.2">
      <c r="A191" s="227">
        <v>5</v>
      </c>
      <c r="B191" s="227"/>
      <c r="C191" s="227"/>
      <c r="D191" s="227"/>
      <c r="E191" s="227"/>
      <c r="G191" s="227">
        <v>5</v>
      </c>
      <c r="H191" s="227"/>
      <c r="I191" s="227"/>
      <c r="J191" s="227"/>
      <c r="K191" s="227"/>
      <c r="M191" s="227">
        <v>5</v>
      </c>
      <c r="N191" s="227"/>
      <c r="O191" s="227"/>
      <c r="P191" s="227"/>
      <c r="Q191" s="227"/>
      <c r="S191" s="227">
        <v>5</v>
      </c>
      <c r="T191" s="227"/>
      <c r="U191" s="227"/>
      <c r="V191" s="227"/>
      <c r="W191" s="227"/>
    </row>
    <row r="192" spans="1:23" x14ac:dyDescent="0.2">
      <c r="A192" s="227">
        <v>2</v>
      </c>
      <c r="B192" s="227"/>
      <c r="C192" s="227"/>
      <c r="D192" s="227"/>
      <c r="E192" s="227"/>
      <c r="G192" s="227">
        <v>2</v>
      </c>
      <c r="H192" s="227"/>
      <c r="I192" s="227"/>
      <c r="J192" s="227"/>
      <c r="K192" s="227"/>
      <c r="M192" s="227">
        <v>2</v>
      </c>
      <c r="N192" s="227"/>
      <c r="O192" s="227"/>
      <c r="P192" s="227"/>
      <c r="Q192" s="227"/>
      <c r="S192" s="227">
        <v>2</v>
      </c>
      <c r="T192" s="227"/>
      <c r="U192" s="227"/>
      <c r="V192" s="227"/>
      <c r="W192" s="227"/>
    </row>
    <row r="193" spans="1:23" x14ac:dyDescent="0.2">
      <c r="A193" s="227">
        <v>7</v>
      </c>
      <c r="B193" s="227"/>
      <c r="C193" s="227"/>
      <c r="D193" s="227"/>
      <c r="E193" s="227"/>
      <c r="G193" s="227">
        <v>7</v>
      </c>
      <c r="H193" s="227"/>
      <c r="I193" s="227"/>
      <c r="J193" s="227"/>
      <c r="K193" s="227"/>
      <c r="M193" s="227">
        <v>7</v>
      </c>
      <c r="N193" s="227"/>
      <c r="O193" s="227"/>
      <c r="P193" s="227"/>
      <c r="Q193" s="227"/>
      <c r="S193" s="227">
        <v>7</v>
      </c>
      <c r="T193" s="227"/>
      <c r="U193" s="227"/>
      <c r="V193" s="227"/>
      <c r="W193" s="227"/>
    </row>
    <row r="194" spans="1:23" x14ac:dyDescent="0.2">
      <c r="A194" s="227">
        <v>7</v>
      </c>
      <c r="B194" s="227"/>
      <c r="C194" s="227"/>
      <c r="D194" s="227"/>
      <c r="E194" s="227"/>
      <c r="G194" s="227">
        <v>7</v>
      </c>
      <c r="H194" s="227"/>
      <c r="I194" s="227"/>
      <c r="J194" s="227"/>
      <c r="K194" s="227"/>
      <c r="M194" s="227">
        <v>7</v>
      </c>
      <c r="N194" s="227"/>
      <c r="O194" s="227"/>
      <c r="P194" s="227"/>
      <c r="Q194" s="227"/>
      <c r="S194" s="227">
        <v>7</v>
      </c>
      <c r="T194" s="227"/>
      <c r="U194" s="227"/>
      <c r="V194" s="227"/>
      <c r="W194" s="227"/>
    </row>
    <row r="195" spans="1:23" x14ac:dyDescent="0.2">
      <c r="A195" s="227">
        <v>7</v>
      </c>
      <c r="B195" s="227"/>
      <c r="C195" s="227"/>
      <c r="D195" s="227"/>
      <c r="E195" s="227"/>
      <c r="G195" s="227">
        <v>7</v>
      </c>
      <c r="H195" s="227"/>
      <c r="I195" s="227"/>
      <c r="J195" s="227"/>
      <c r="K195" s="227"/>
      <c r="M195" s="227">
        <v>7</v>
      </c>
      <c r="N195" s="227"/>
      <c r="O195" s="227"/>
      <c r="P195" s="227"/>
      <c r="Q195" s="227"/>
      <c r="S195" s="227">
        <v>7</v>
      </c>
      <c r="T195" s="227"/>
      <c r="U195" s="227"/>
      <c r="V195" s="227"/>
      <c r="W195" s="227"/>
    </row>
    <row r="196" spans="1:23" x14ac:dyDescent="0.2">
      <c r="A196" s="227">
        <v>8</v>
      </c>
      <c r="B196" s="227"/>
      <c r="C196" s="227"/>
      <c r="D196" s="227"/>
      <c r="E196" s="227"/>
      <c r="G196" s="227">
        <v>8</v>
      </c>
      <c r="H196" s="227"/>
      <c r="I196" s="227"/>
      <c r="J196" s="227"/>
      <c r="K196" s="227"/>
      <c r="M196" s="227">
        <v>8</v>
      </c>
      <c r="N196" s="227"/>
      <c r="O196" s="227"/>
      <c r="P196" s="227"/>
      <c r="Q196" s="227"/>
      <c r="S196" s="227">
        <v>8</v>
      </c>
      <c r="T196" s="227"/>
      <c r="U196" s="227"/>
      <c r="V196" s="227"/>
      <c r="W196" s="227"/>
    </row>
    <row r="197" spans="1:23" x14ac:dyDescent="0.2">
      <c r="A197" s="227">
        <v>3</v>
      </c>
      <c r="B197" s="227"/>
      <c r="C197" s="227"/>
      <c r="D197" s="227"/>
      <c r="E197" s="227"/>
      <c r="G197" s="227">
        <v>3</v>
      </c>
      <c r="H197" s="227"/>
      <c r="I197" s="227"/>
      <c r="J197" s="227"/>
      <c r="K197" s="227"/>
      <c r="M197" s="227">
        <v>3</v>
      </c>
      <c r="N197" s="227"/>
      <c r="O197" s="227"/>
      <c r="P197" s="227"/>
      <c r="Q197" s="227"/>
      <c r="S197" s="227">
        <v>3</v>
      </c>
      <c r="T197" s="227"/>
      <c r="U197" s="227"/>
      <c r="V197" s="227"/>
      <c r="W197" s="227"/>
    </row>
    <row r="198" spans="1:23" x14ac:dyDescent="0.2">
      <c r="A198" s="227">
        <v>4</v>
      </c>
      <c r="B198" s="227"/>
      <c r="C198" s="227"/>
      <c r="D198" s="227"/>
      <c r="E198" s="227"/>
      <c r="G198" s="227">
        <v>4</v>
      </c>
      <c r="H198" s="227"/>
      <c r="I198" s="227"/>
      <c r="J198" s="227"/>
      <c r="K198" s="227"/>
      <c r="M198" s="227">
        <v>4</v>
      </c>
      <c r="N198" s="227"/>
      <c r="O198" s="227"/>
      <c r="P198" s="227"/>
      <c r="Q198" s="227"/>
      <c r="S198" s="227">
        <v>4</v>
      </c>
      <c r="T198" s="227"/>
      <c r="U198" s="227"/>
      <c r="V198" s="227"/>
      <c r="W198" s="227"/>
    </row>
    <row r="199" spans="1:23" x14ac:dyDescent="0.2">
      <c r="A199" s="227">
        <v>8</v>
      </c>
      <c r="B199" s="227"/>
      <c r="C199" s="227"/>
      <c r="D199" s="227"/>
      <c r="E199" s="227"/>
      <c r="G199" s="227">
        <v>8</v>
      </c>
      <c r="H199" s="227"/>
      <c r="I199" s="227"/>
      <c r="J199" s="227"/>
      <c r="K199" s="227"/>
      <c r="M199" s="227">
        <v>8</v>
      </c>
      <c r="N199" s="227"/>
      <c r="O199" s="227"/>
      <c r="P199" s="227"/>
      <c r="Q199" s="227"/>
      <c r="S199" s="227">
        <v>8</v>
      </c>
      <c r="T199" s="227"/>
      <c r="U199" s="227"/>
      <c r="V199" s="227"/>
      <c r="W199" s="227"/>
    </row>
    <row r="200" spans="1:23" x14ac:dyDescent="0.2">
      <c r="A200" s="227">
        <v>5</v>
      </c>
      <c r="B200" s="227"/>
      <c r="C200" s="227"/>
      <c r="D200" s="227"/>
      <c r="E200" s="227"/>
      <c r="G200" s="227">
        <v>5</v>
      </c>
      <c r="H200" s="227"/>
      <c r="I200" s="227"/>
      <c r="J200" s="227"/>
      <c r="K200" s="227"/>
      <c r="M200" s="227">
        <v>5</v>
      </c>
      <c r="N200" s="227"/>
      <c r="O200" s="227"/>
      <c r="P200" s="227"/>
      <c r="Q200" s="227"/>
      <c r="S200" s="227">
        <v>5</v>
      </c>
      <c r="T200" s="227"/>
      <c r="U200" s="227"/>
      <c r="V200" s="227"/>
      <c r="W200" s="227"/>
    </row>
    <row r="201" spans="1:23" x14ac:dyDescent="0.2">
      <c r="A201" s="227">
        <v>3</v>
      </c>
      <c r="B201" s="227"/>
      <c r="C201" s="227"/>
      <c r="D201" s="227"/>
      <c r="E201" s="227"/>
      <c r="G201" s="227">
        <v>3</v>
      </c>
      <c r="H201" s="227"/>
      <c r="I201" s="227"/>
      <c r="J201" s="227"/>
      <c r="K201" s="227"/>
      <c r="M201" s="227">
        <v>3</v>
      </c>
      <c r="N201" s="227"/>
      <c r="O201" s="227"/>
      <c r="P201" s="227"/>
      <c r="Q201" s="227"/>
      <c r="S201" s="227">
        <v>3</v>
      </c>
      <c r="T201" s="227"/>
      <c r="U201" s="227"/>
      <c r="V201" s="227"/>
      <c r="W201" s="227"/>
    </row>
    <row r="202" spans="1:23" x14ac:dyDescent="0.2">
      <c r="A202" s="227">
        <v>7</v>
      </c>
      <c r="B202" s="227"/>
      <c r="C202" s="227"/>
      <c r="D202" s="227"/>
      <c r="E202" s="227"/>
      <c r="G202" s="227">
        <v>7</v>
      </c>
      <c r="H202" s="227"/>
      <c r="I202" s="227"/>
      <c r="J202" s="227"/>
      <c r="K202" s="227"/>
      <c r="M202" s="227">
        <v>7</v>
      </c>
      <c r="N202" s="227"/>
      <c r="O202" s="227"/>
      <c r="P202" s="227"/>
      <c r="Q202" s="227"/>
      <c r="S202" s="227">
        <v>7</v>
      </c>
      <c r="T202" s="227"/>
      <c r="U202" s="227"/>
      <c r="V202" s="227"/>
      <c r="W202" s="227"/>
    </row>
    <row r="203" spans="1:23" x14ac:dyDescent="0.2">
      <c r="A203" s="227">
        <v>5</v>
      </c>
      <c r="B203" s="227"/>
      <c r="C203" s="227"/>
      <c r="D203" s="227"/>
      <c r="E203" s="227"/>
      <c r="G203" s="227">
        <v>5</v>
      </c>
      <c r="H203" s="227"/>
      <c r="I203" s="227"/>
      <c r="J203" s="227"/>
      <c r="K203" s="227"/>
      <c r="M203" s="227">
        <v>5</v>
      </c>
      <c r="N203" s="227"/>
      <c r="O203" s="227"/>
      <c r="P203" s="227"/>
      <c r="Q203" s="227"/>
      <c r="S203" s="227">
        <v>5</v>
      </c>
      <c r="T203" s="227"/>
      <c r="U203" s="227"/>
      <c r="V203" s="227"/>
      <c r="W203" s="227"/>
    </row>
    <row r="204" spans="1:23" x14ac:dyDescent="0.2">
      <c r="A204" s="227">
        <v>3</v>
      </c>
      <c r="B204" s="227"/>
      <c r="C204" s="227"/>
      <c r="D204" s="227"/>
      <c r="E204" s="227"/>
      <c r="G204" s="227">
        <v>3</v>
      </c>
      <c r="H204" s="227"/>
      <c r="I204" s="227"/>
      <c r="J204" s="227"/>
      <c r="K204" s="227"/>
      <c r="M204" s="227">
        <v>3</v>
      </c>
      <c r="N204" s="227"/>
      <c r="O204" s="227"/>
      <c r="P204" s="227"/>
      <c r="Q204" s="227"/>
      <c r="S204" s="227">
        <v>3</v>
      </c>
      <c r="T204" s="227"/>
      <c r="U204" s="227"/>
      <c r="V204" s="227"/>
      <c r="W204" s="227"/>
    </row>
    <row r="205" spans="1:23" x14ac:dyDescent="0.2">
      <c r="A205" s="227">
        <v>7</v>
      </c>
      <c r="B205" s="227"/>
      <c r="C205" s="227"/>
      <c r="D205" s="227"/>
      <c r="E205" s="227"/>
      <c r="G205" s="227">
        <v>7</v>
      </c>
      <c r="H205" s="227"/>
      <c r="I205" s="227"/>
      <c r="J205" s="227"/>
      <c r="K205" s="227"/>
      <c r="M205" s="227">
        <v>7</v>
      </c>
      <c r="N205" s="227"/>
      <c r="O205" s="227"/>
      <c r="P205" s="227"/>
      <c r="Q205" s="227"/>
      <c r="S205" s="227">
        <v>7</v>
      </c>
      <c r="T205" s="227"/>
      <c r="U205" s="227"/>
      <c r="V205" s="227"/>
      <c r="W205" s="227"/>
    </row>
    <row r="206" spans="1:23" x14ac:dyDescent="0.2">
      <c r="A206" s="227">
        <v>5</v>
      </c>
      <c r="B206" s="227"/>
      <c r="C206" s="227"/>
      <c r="D206" s="227"/>
      <c r="E206" s="227"/>
      <c r="G206" s="227">
        <v>5</v>
      </c>
      <c r="H206" s="227"/>
      <c r="I206" s="227"/>
      <c r="J206" s="227"/>
      <c r="K206" s="227"/>
      <c r="M206" s="227">
        <v>5</v>
      </c>
      <c r="N206" s="227"/>
      <c r="O206" s="227"/>
      <c r="P206" s="227"/>
      <c r="Q206" s="227"/>
      <c r="S206" s="227">
        <v>5</v>
      </c>
      <c r="T206" s="227"/>
      <c r="U206" s="227"/>
      <c r="V206" s="227"/>
      <c r="W206" s="227"/>
    </row>
    <row r="207" spans="1:23" x14ac:dyDescent="0.2">
      <c r="A207" s="227">
        <v>2</v>
      </c>
      <c r="B207" s="227"/>
      <c r="C207" s="227"/>
      <c r="D207" s="227"/>
      <c r="E207" s="227"/>
      <c r="G207" s="227">
        <v>2</v>
      </c>
      <c r="H207" s="227"/>
      <c r="I207" s="227"/>
      <c r="J207" s="227"/>
      <c r="K207" s="227"/>
      <c r="M207" s="227">
        <v>2</v>
      </c>
      <c r="N207" s="227"/>
      <c r="O207" s="227"/>
      <c r="P207" s="227"/>
      <c r="Q207" s="227"/>
      <c r="S207" s="227">
        <v>2</v>
      </c>
      <c r="T207" s="227"/>
      <c r="U207" s="227"/>
      <c r="V207" s="227"/>
      <c r="W207" s="227"/>
    </row>
    <row r="208" spans="1:23" x14ac:dyDescent="0.2">
      <c r="A208" s="227">
        <v>8</v>
      </c>
      <c r="B208" s="227"/>
      <c r="C208" s="227"/>
      <c r="D208" s="227"/>
      <c r="E208" s="227"/>
      <c r="G208" s="227">
        <v>8</v>
      </c>
      <c r="H208" s="227"/>
      <c r="I208" s="227"/>
      <c r="J208" s="227"/>
      <c r="K208" s="227"/>
      <c r="M208" s="227">
        <v>8</v>
      </c>
      <c r="N208" s="227"/>
      <c r="O208" s="227"/>
      <c r="P208" s="227"/>
      <c r="Q208" s="227"/>
      <c r="S208" s="227">
        <v>8</v>
      </c>
      <c r="T208" s="227"/>
      <c r="U208" s="227"/>
      <c r="V208" s="227"/>
      <c r="W208" s="227"/>
    </row>
    <row r="209" spans="1:23" x14ac:dyDescent="0.2">
      <c r="A209" s="227"/>
      <c r="B209" s="227"/>
      <c r="C209" s="227"/>
      <c r="D209" s="227"/>
      <c r="E209" s="227"/>
      <c r="G209" s="227"/>
      <c r="H209" s="227"/>
      <c r="I209" s="227"/>
      <c r="J209" s="227"/>
      <c r="K209" s="227"/>
      <c r="M209" s="227"/>
      <c r="N209" s="227"/>
      <c r="O209" s="227"/>
      <c r="P209" s="227"/>
      <c r="Q209" s="227"/>
      <c r="S209" s="227"/>
      <c r="T209" s="227"/>
      <c r="U209" s="227"/>
      <c r="V209" s="227"/>
      <c r="W209" s="227"/>
    </row>
    <row r="210" spans="1:23" x14ac:dyDescent="0.2">
      <c r="A210" s="227"/>
      <c r="B210" s="227"/>
      <c r="C210" s="227"/>
      <c r="D210" s="227"/>
      <c r="E210" s="227"/>
      <c r="G210" s="227"/>
      <c r="H210" s="227"/>
      <c r="I210" s="227"/>
      <c r="J210" s="227"/>
      <c r="K210" s="227"/>
      <c r="M210" s="227"/>
      <c r="N210" s="227"/>
      <c r="O210" s="227"/>
      <c r="P210" s="227"/>
      <c r="Q210" s="227"/>
      <c r="S210" s="227"/>
      <c r="T210" s="227"/>
      <c r="U210" s="227"/>
      <c r="V210" s="227"/>
      <c r="W210" s="227"/>
    </row>
    <row r="211" spans="1:23" x14ac:dyDescent="0.2">
      <c r="A211" s="227"/>
      <c r="B211" s="227"/>
      <c r="C211" s="227"/>
      <c r="D211" s="227"/>
      <c r="E211" s="227"/>
      <c r="G211" s="227"/>
      <c r="H211" s="227"/>
      <c r="I211" s="227"/>
      <c r="J211" s="227"/>
      <c r="K211" s="227"/>
      <c r="M211" s="227"/>
      <c r="N211" s="227"/>
      <c r="O211" s="227"/>
      <c r="P211" s="227"/>
      <c r="Q211" s="227"/>
      <c r="S211" s="227"/>
      <c r="T211" s="227"/>
      <c r="U211" s="227"/>
      <c r="V211" s="227"/>
      <c r="W211" s="227"/>
    </row>
    <row r="212" spans="1:23" x14ac:dyDescent="0.2">
      <c r="A212" s="227"/>
      <c r="B212" s="227"/>
      <c r="C212" s="227"/>
      <c r="D212" s="227"/>
      <c r="E212" s="227"/>
      <c r="G212" s="227"/>
      <c r="H212" s="227"/>
      <c r="I212" s="227"/>
      <c r="J212" s="227"/>
      <c r="K212" s="227"/>
      <c r="M212" s="227"/>
      <c r="N212" s="227"/>
      <c r="O212" s="227"/>
      <c r="P212" s="227"/>
      <c r="Q212" s="227"/>
      <c r="S212" s="227"/>
      <c r="T212" s="227"/>
      <c r="U212" s="227"/>
      <c r="V212" s="227"/>
      <c r="W212" s="227"/>
    </row>
    <row r="213" spans="1:23" x14ac:dyDescent="0.2">
      <c r="A213" s="227"/>
      <c r="B213" s="227"/>
      <c r="C213" s="227"/>
      <c r="D213" s="227"/>
      <c r="E213" s="227"/>
      <c r="G213" s="227"/>
      <c r="H213" s="227"/>
      <c r="I213" s="227"/>
      <c r="J213" s="227"/>
      <c r="K213" s="227"/>
      <c r="M213" s="227"/>
      <c r="N213" s="227"/>
      <c r="O213" s="227"/>
      <c r="P213" s="227"/>
      <c r="Q213" s="227"/>
      <c r="S213" s="227"/>
      <c r="T213" s="227"/>
      <c r="U213" s="227"/>
      <c r="V213" s="227"/>
      <c r="W213" s="227"/>
    </row>
    <row r="214" spans="1:23" x14ac:dyDescent="0.2">
      <c r="A214" s="227"/>
      <c r="B214" s="227"/>
      <c r="C214" s="227"/>
      <c r="D214" s="227"/>
      <c r="E214" s="227"/>
      <c r="G214" s="227"/>
      <c r="H214" s="227"/>
      <c r="I214" s="227"/>
      <c r="J214" s="227"/>
      <c r="K214" s="227"/>
      <c r="M214" s="227"/>
      <c r="N214" s="227"/>
      <c r="O214" s="227"/>
      <c r="P214" s="227"/>
      <c r="Q214" s="227"/>
      <c r="S214" s="227"/>
      <c r="T214" s="227"/>
      <c r="U214" s="227"/>
      <c r="V214" s="227"/>
      <c r="W214" s="227"/>
    </row>
    <row r="215" spans="1:23" x14ac:dyDescent="0.2">
      <c r="A215" s="227"/>
      <c r="B215" s="227"/>
      <c r="C215" s="227"/>
      <c r="D215" s="227"/>
      <c r="E215" s="227"/>
      <c r="G215" s="227"/>
      <c r="H215" s="227"/>
      <c r="I215" s="227"/>
      <c r="J215" s="227"/>
      <c r="K215" s="227"/>
      <c r="M215" s="227"/>
      <c r="N215" s="227"/>
      <c r="O215" s="227"/>
      <c r="P215" s="227"/>
      <c r="Q215" s="227"/>
      <c r="S215" s="227"/>
      <c r="T215" s="227"/>
      <c r="U215" s="227"/>
      <c r="V215" s="227"/>
      <c r="W215" s="227"/>
    </row>
    <row r="216" spans="1:23" x14ac:dyDescent="0.2">
      <c r="A216" s="227"/>
      <c r="B216" s="227"/>
      <c r="C216" s="227"/>
      <c r="D216" s="227"/>
      <c r="E216" s="227"/>
      <c r="G216" s="227"/>
      <c r="H216" s="227"/>
      <c r="I216" s="227"/>
      <c r="J216" s="227"/>
      <c r="K216" s="227"/>
      <c r="M216" s="227"/>
      <c r="N216" s="227"/>
      <c r="O216" s="227"/>
      <c r="P216" s="227"/>
      <c r="Q216" s="227"/>
      <c r="S216" s="227"/>
      <c r="T216" s="227"/>
      <c r="U216" s="227"/>
      <c r="V216" s="227"/>
      <c r="W216" s="227"/>
    </row>
    <row r="217" spans="1:23" x14ac:dyDescent="0.2">
      <c r="A217" s="227"/>
      <c r="B217" s="227"/>
      <c r="C217" s="227"/>
      <c r="D217" s="227"/>
      <c r="E217" s="227"/>
      <c r="G217" s="227"/>
      <c r="H217" s="227"/>
      <c r="I217" s="227"/>
      <c r="J217" s="227"/>
      <c r="K217" s="227"/>
      <c r="M217" s="227"/>
      <c r="N217" s="227"/>
      <c r="O217" s="227"/>
      <c r="P217" s="227"/>
      <c r="Q217" s="227"/>
      <c r="S217" s="227"/>
      <c r="T217" s="227"/>
      <c r="U217" s="227"/>
      <c r="V217" s="227"/>
      <c r="W217" s="227"/>
    </row>
    <row r="218" spans="1:23" x14ac:dyDescent="0.2">
      <c r="A218" s="227"/>
      <c r="B218" s="227"/>
      <c r="C218" s="227"/>
      <c r="D218" s="227"/>
      <c r="E218" s="227"/>
      <c r="G218" s="227"/>
      <c r="H218" s="227"/>
      <c r="I218" s="227"/>
      <c r="J218" s="227"/>
      <c r="K218" s="227"/>
      <c r="M218" s="227"/>
      <c r="N218" s="227"/>
      <c r="O218" s="227"/>
      <c r="P218" s="227"/>
      <c r="Q218" s="227"/>
      <c r="S218" s="227"/>
      <c r="T218" s="227"/>
      <c r="U218" s="227"/>
      <c r="V218" s="227"/>
      <c r="W218" s="227"/>
    </row>
    <row r="219" spans="1:23" x14ac:dyDescent="0.2">
      <c r="A219" s="227"/>
      <c r="B219" s="227"/>
      <c r="C219" s="227"/>
      <c r="D219" s="227"/>
      <c r="E219" s="227"/>
      <c r="G219" s="227"/>
      <c r="H219" s="227"/>
      <c r="I219" s="227"/>
      <c r="J219" s="227"/>
      <c r="K219" s="227"/>
      <c r="M219" s="227"/>
      <c r="N219" s="227"/>
      <c r="O219" s="227"/>
      <c r="P219" s="227"/>
      <c r="Q219" s="227"/>
      <c r="S219" s="227"/>
      <c r="T219" s="227"/>
      <c r="U219" s="227"/>
      <c r="V219" s="227"/>
      <c r="W219" s="227"/>
    </row>
    <row r="220" spans="1:23" x14ac:dyDescent="0.2">
      <c r="A220" s="227"/>
      <c r="B220" s="227"/>
      <c r="C220" s="227"/>
      <c r="D220" s="227"/>
      <c r="E220" s="227"/>
      <c r="G220" s="227"/>
      <c r="H220" s="227"/>
      <c r="I220" s="227"/>
      <c r="J220" s="227"/>
      <c r="K220" s="227"/>
      <c r="M220" s="227"/>
      <c r="N220" s="227"/>
      <c r="O220" s="227"/>
      <c r="P220" s="227"/>
      <c r="Q220" s="227"/>
      <c r="S220" s="227"/>
      <c r="T220" s="227"/>
      <c r="U220" s="227"/>
      <c r="V220" s="227"/>
      <c r="W220" s="227"/>
    </row>
    <row r="221" spans="1:23" x14ac:dyDescent="0.2">
      <c r="A221" s="227"/>
      <c r="B221" s="227"/>
      <c r="C221" s="227"/>
      <c r="D221" s="227"/>
      <c r="E221" s="227"/>
      <c r="G221" s="227"/>
      <c r="H221" s="227"/>
      <c r="I221" s="227"/>
      <c r="J221" s="227"/>
      <c r="K221" s="227"/>
      <c r="M221" s="227"/>
      <c r="N221" s="227"/>
      <c r="O221" s="227"/>
      <c r="P221" s="227"/>
      <c r="Q221" s="227"/>
      <c r="S221" s="227"/>
      <c r="T221" s="227"/>
      <c r="U221" s="227"/>
      <c r="V221" s="227"/>
      <c r="W221" s="227"/>
    </row>
    <row r="222" spans="1:23" x14ac:dyDescent="0.2">
      <c r="A222" s="227"/>
      <c r="B222" s="227"/>
      <c r="C222" s="227"/>
      <c r="D222" s="227"/>
      <c r="E222" s="227"/>
      <c r="G222" s="227"/>
      <c r="H222" s="227"/>
      <c r="I222" s="227"/>
      <c r="J222" s="227"/>
      <c r="K222" s="227"/>
      <c r="M222" s="227"/>
      <c r="N222" s="227"/>
      <c r="O222" s="227"/>
      <c r="P222" s="227"/>
      <c r="Q222" s="227"/>
      <c r="S222" s="227"/>
      <c r="T222" s="227"/>
      <c r="U222" s="227"/>
      <c r="V222" s="227"/>
      <c r="W222" s="227"/>
    </row>
    <row r="223" spans="1:23" x14ac:dyDescent="0.2">
      <c r="A223" s="227"/>
      <c r="B223" s="227"/>
      <c r="C223" s="227"/>
      <c r="D223" s="227"/>
      <c r="E223" s="227"/>
      <c r="G223" s="227"/>
      <c r="H223" s="227"/>
      <c r="I223" s="227"/>
      <c r="J223" s="227"/>
      <c r="K223" s="227"/>
      <c r="M223" s="227"/>
      <c r="N223" s="227"/>
      <c r="O223" s="227"/>
      <c r="P223" s="227"/>
      <c r="Q223" s="227"/>
      <c r="S223" s="227"/>
      <c r="T223" s="227"/>
      <c r="U223" s="227"/>
      <c r="V223" s="227"/>
      <c r="W223" s="227"/>
    </row>
    <row r="224" spans="1:23" x14ac:dyDescent="0.2">
      <c r="A224" s="227"/>
      <c r="B224" s="227"/>
      <c r="C224" s="227"/>
      <c r="D224" s="227"/>
      <c r="E224" s="227"/>
      <c r="G224" s="227"/>
      <c r="H224" s="227"/>
      <c r="I224" s="227"/>
      <c r="J224" s="227"/>
      <c r="K224" s="227"/>
      <c r="M224" s="227"/>
      <c r="N224" s="227"/>
      <c r="O224" s="227"/>
      <c r="P224" s="227"/>
      <c r="Q224" s="227"/>
      <c r="S224" s="227"/>
      <c r="T224" s="227"/>
      <c r="U224" s="227"/>
      <c r="V224" s="227"/>
      <c r="W224" s="227"/>
    </row>
    <row r="225" spans="1:23" x14ac:dyDescent="0.2">
      <c r="A225" s="227"/>
      <c r="B225" s="227"/>
      <c r="C225" s="227"/>
      <c r="D225" s="227"/>
      <c r="E225" s="227"/>
      <c r="G225" s="227"/>
      <c r="H225" s="227"/>
      <c r="I225" s="227"/>
      <c r="J225" s="227"/>
      <c r="K225" s="227"/>
      <c r="M225" s="227"/>
      <c r="N225" s="227"/>
      <c r="O225" s="227"/>
      <c r="P225" s="227"/>
      <c r="Q225" s="227"/>
      <c r="S225" s="227"/>
      <c r="T225" s="227"/>
      <c r="U225" s="227"/>
      <c r="V225" s="227"/>
      <c r="W225" s="227"/>
    </row>
    <row r="226" spans="1:23" x14ac:dyDescent="0.2">
      <c r="A226" s="227"/>
      <c r="B226" s="227"/>
      <c r="C226" s="227"/>
      <c r="D226" s="227"/>
      <c r="E226" s="227"/>
      <c r="G226" s="227"/>
      <c r="H226" s="227"/>
      <c r="I226" s="227"/>
      <c r="J226" s="227"/>
      <c r="K226" s="227"/>
      <c r="M226" s="227"/>
      <c r="N226" s="227"/>
      <c r="O226" s="227"/>
      <c r="P226" s="227"/>
      <c r="Q226" s="227"/>
      <c r="S226" s="227"/>
      <c r="T226" s="227"/>
      <c r="U226" s="227"/>
      <c r="V226" s="227"/>
      <c r="W226" s="227"/>
    </row>
    <row r="227" spans="1:23" x14ac:dyDescent="0.2">
      <c r="A227" s="227"/>
      <c r="B227" s="227"/>
      <c r="C227" s="227"/>
      <c r="D227" s="227"/>
      <c r="E227" s="227"/>
      <c r="G227" s="227"/>
      <c r="H227" s="227"/>
      <c r="I227" s="227"/>
      <c r="J227" s="227"/>
      <c r="K227" s="227"/>
      <c r="M227" s="227"/>
      <c r="N227" s="227"/>
      <c r="O227" s="227"/>
      <c r="P227" s="227"/>
      <c r="Q227" s="227"/>
      <c r="S227" s="227"/>
      <c r="T227" s="227"/>
      <c r="U227" s="227"/>
      <c r="V227" s="227"/>
      <c r="W227" s="227"/>
    </row>
    <row r="228" spans="1:23" x14ac:dyDescent="0.2">
      <c r="A228" s="227"/>
      <c r="B228" s="227"/>
      <c r="C228" s="227"/>
      <c r="D228" s="227"/>
      <c r="E228" s="227"/>
      <c r="G228" s="227"/>
      <c r="H228" s="227"/>
      <c r="I228" s="227"/>
      <c r="J228" s="227"/>
      <c r="K228" s="227"/>
      <c r="M228" s="227"/>
      <c r="N228" s="227"/>
      <c r="O228" s="227"/>
      <c r="P228" s="227"/>
      <c r="Q228" s="227"/>
      <c r="S228" s="227"/>
      <c r="T228" s="227"/>
      <c r="U228" s="227"/>
      <c r="V228" s="227"/>
      <c r="W228" s="227"/>
    </row>
    <row r="229" spans="1:23" x14ac:dyDescent="0.2">
      <c r="A229" s="227"/>
      <c r="B229" s="227"/>
      <c r="C229" s="227"/>
      <c r="D229" s="227"/>
      <c r="E229" s="227"/>
      <c r="G229" s="227"/>
      <c r="H229" s="227"/>
      <c r="I229" s="227"/>
      <c r="J229" s="227"/>
      <c r="K229" s="227"/>
      <c r="M229" s="227"/>
      <c r="N229" s="227"/>
      <c r="O229" s="227"/>
      <c r="P229" s="227"/>
      <c r="Q229" s="227"/>
      <c r="S229" s="227"/>
      <c r="T229" s="227"/>
      <c r="U229" s="227"/>
      <c r="V229" s="227"/>
      <c r="W229" s="227"/>
    </row>
    <row r="230" spans="1:23" x14ac:dyDescent="0.2">
      <c r="A230" s="227"/>
      <c r="B230" s="227"/>
      <c r="C230" s="227"/>
      <c r="D230" s="227"/>
      <c r="E230" s="227"/>
      <c r="G230" s="227"/>
      <c r="H230" s="227"/>
      <c r="I230" s="227"/>
      <c r="J230" s="227"/>
      <c r="K230" s="227"/>
      <c r="M230" s="227"/>
      <c r="N230" s="227"/>
      <c r="O230" s="227"/>
      <c r="P230" s="227"/>
      <c r="Q230" s="227"/>
      <c r="S230" s="227"/>
      <c r="T230" s="227"/>
      <c r="U230" s="227"/>
      <c r="V230" s="227"/>
      <c r="W230" s="227"/>
    </row>
    <row r="231" spans="1:23" x14ac:dyDescent="0.2">
      <c r="A231" s="227"/>
      <c r="B231" s="227"/>
      <c r="C231" s="227"/>
      <c r="D231" s="227"/>
      <c r="E231" s="227"/>
      <c r="G231" s="227"/>
      <c r="H231" s="227"/>
      <c r="I231" s="227"/>
      <c r="J231" s="227"/>
      <c r="K231" s="227"/>
      <c r="M231" s="227"/>
      <c r="N231" s="227"/>
      <c r="O231" s="227"/>
      <c r="P231" s="227"/>
      <c r="Q231" s="227"/>
      <c r="S231" s="227"/>
      <c r="T231" s="227"/>
      <c r="U231" s="227"/>
      <c r="V231" s="227"/>
      <c r="W231" s="227"/>
    </row>
    <row r="232" spans="1:23" x14ac:dyDescent="0.2">
      <c r="A232" s="227"/>
      <c r="B232" s="227"/>
      <c r="C232" s="227"/>
      <c r="D232" s="227"/>
      <c r="E232" s="227"/>
      <c r="G232" s="227"/>
      <c r="H232" s="227"/>
      <c r="I232" s="227"/>
      <c r="J232" s="227"/>
      <c r="K232" s="227"/>
      <c r="M232" s="227"/>
      <c r="N232" s="227"/>
      <c r="O232" s="227"/>
      <c r="P232" s="227"/>
      <c r="Q232" s="227"/>
      <c r="S232" s="227"/>
      <c r="T232" s="227"/>
      <c r="U232" s="227"/>
      <c r="V232" s="227"/>
      <c r="W232" s="227"/>
    </row>
    <row r="233" spans="1:23" x14ac:dyDescent="0.2">
      <c r="A233" s="227"/>
      <c r="B233" s="227"/>
      <c r="C233" s="227"/>
      <c r="D233" s="227"/>
      <c r="E233" s="227"/>
      <c r="G233" s="227"/>
      <c r="H233" s="227"/>
      <c r="I233" s="227"/>
      <c r="J233" s="227"/>
      <c r="K233" s="227"/>
      <c r="M233" s="227"/>
      <c r="N233" s="227"/>
      <c r="O233" s="227"/>
      <c r="P233" s="227"/>
      <c r="Q233" s="227"/>
      <c r="S233" s="227"/>
      <c r="T233" s="227"/>
      <c r="U233" s="227"/>
      <c r="V233" s="227"/>
      <c r="W233" s="227"/>
    </row>
    <row r="234" spans="1:23" x14ac:dyDescent="0.2">
      <c r="A234" s="227"/>
      <c r="B234" s="227"/>
      <c r="C234" s="227"/>
      <c r="D234" s="227"/>
      <c r="E234" s="227"/>
      <c r="G234" s="227"/>
      <c r="H234" s="227"/>
      <c r="I234" s="227"/>
      <c r="J234" s="227"/>
      <c r="K234" s="227"/>
      <c r="M234" s="227"/>
      <c r="N234" s="227"/>
      <c r="O234" s="227"/>
      <c r="P234" s="227"/>
      <c r="Q234" s="227"/>
      <c r="S234" s="227"/>
      <c r="T234" s="227"/>
      <c r="U234" s="227"/>
      <c r="V234" s="227"/>
      <c r="W234" s="2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0373-42D1-554D-923F-6C5A55C72FAF}">
  <dimension ref="B2:AD96"/>
  <sheetViews>
    <sheetView tabSelected="1" topLeftCell="A35" zoomScale="110" zoomScaleNormal="110" workbookViewId="0">
      <selection activeCell="N63" sqref="N63"/>
    </sheetView>
  </sheetViews>
  <sheetFormatPr baseColWidth="10" defaultRowHeight="16" x14ac:dyDescent="0.2"/>
  <cols>
    <col min="3" max="3" width="17" customWidth="1"/>
  </cols>
  <sheetData>
    <row r="2" spans="2:23" x14ac:dyDescent="0.2">
      <c r="B2" t="s">
        <v>159</v>
      </c>
    </row>
    <row r="3" spans="2:23" x14ac:dyDescent="0.2">
      <c r="B3" t="s">
        <v>161</v>
      </c>
      <c r="C3" s="224" t="s">
        <v>160</v>
      </c>
    </row>
    <row r="4" spans="2:23" x14ac:dyDescent="0.2">
      <c r="B4" t="s">
        <v>162</v>
      </c>
      <c r="C4">
        <v>100</v>
      </c>
      <c r="W4" s="229"/>
    </row>
    <row r="5" spans="2:23" ht="17" customHeight="1" x14ac:dyDescent="0.2">
      <c r="W5" s="229"/>
    </row>
    <row r="6" spans="2:23" ht="17" customHeight="1" x14ac:dyDescent="0.2">
      <c r="B6" t="s">
        <v>178</v>
      </c>
      <c r="W6" s="229"/>
    </row>
    <row r="7" spans="2:23" ht="17" customHeight="1" x14ac:dyDescent="0.2">
      <c r="B7">
        <v>2</v>
      </c>
      <c r="C7">
        <v>2</v>
      </c>
      <c r="D7">
        <v>2</v>
      </c>
      <c r="E7">
        <v>2</v>
      </c>
      <c r="F7">
        <v>2</v>
      </c>
      <c r="W7" s="229"/>
    </row>
    <row r="8" spans="2:23" ht="17" customHeight="1" x14ac:dyDescent="0.2">
      <c r="B8">
        <v>0</v>
      </c>
      <c r="C8">
        <v>0</v>
      </c>
      <c r="D8">
        <v>0</v>
      </c>
      <c r="E8">
        <v>0</v>
      </c>
      <c r="F8">
        <v>0</v>
      </c>
      <c r="W8" s="229"/>
    </row>
    <row r="9" spans="2:23" ht="17" customHeight="1" x14ac:dyDescent="0.2">
      <c r="B9">
        <v>4</v>
      </c>
      <c r="C9">
        <v>4</v>
      </c>
      <c r="D9">
        <v>4</v>
      </c>
      <c r="E9">
        <v>4</v>
      </c>
      <c r="F9">
        <v>4</v>
      </c>
      <c r="W9" s="229"/>
    </row>
    <row r="10" spans="2:23" ht="17" customHeight="1" x14ac:dyDescent="0.2">
      <c r="B10">
        <v>1</v>
      </c>
      <c r="C10">
        <v>1</v>
      </c>
      <c r="D10">
        <v>1</v>
      </c>
      <c r="E10">
        <v>1</v>
      </c>
      <c r="F10">
        <v>1</v>
      </c>
      <c r="W10" s="229"/>
    </row>
    <row r="11" spans="2:23" ht="17" customHeight="1" x14ac:dyDescent="0.2">
      <c r="B11">
        <v>3</v>
      </c>
      <c r="C11">
        <v>3</v>
      </c>
      <c r="D11">
        <v>3</v>
      </c>
      <c r="E11">
        <v>3</v>
      </c>
      <c r="F11">
        <v>3</v>
      </c>
      <c r="W11" s="229"/>
    </row>
    <row r="12" spans="2:23" ht="17" customHeight="1" x14ac:dyDescent="0.2">
      <c r="B12">
        <v>0</v>
      </c>
      <c r="C12">
        <v>1</v>
      </c>
      <c r="D12">
        <v>2</v>
      </c>
      <c r="E12">
        <v>3</v>
      </c>
      <c r="F12">
        <v>4</v>
      </c>
      <c r="W12" s="229"/>
    </row>
    <row r="13" spans="2:23" ht="17" customHeight="1" x14ac:dyDescent="0.2">
      <c r="B13">
        <v>4</v>
      </c>
      <c r="C13">
        <v>3</v>
      </c>
      <c r="D13">
        <v>2</v>
      </c>
      <c r="E13">
        <v>1</v>
      </c>
      <c r="F13">
        <v>0</v>
      </c>
      <c r="W13" s="229"/>
    </row>
    <row r="14" spans="2:23" ht="17" customHeight="1" x14ac:dyDescent="0.2">
      <c r="B14">
        <v>1</v>
      </c>
      <c r="C14">
        <v>0</v>
      </c>
      <c r="D14">
        <v>1</v>
      </c>
      <c r="E14">
        <v>2</v>
      </c>
      <c r="F14">
        <v>1</v>
      </c>
      <c r="W14" s="229"/>
    </row>
    <row r="15" spans="2:23" ht="17" customHeight="1" x14ac:dyDescent="0.2">
      <c r="B15">
        <v>3</v>
      </c>
      <c r="C15">
        <v>4</v>
      </c>
      <c r="D15">
        <v>3</v>
      </c>
      <c r="E15">
        <v>2</v>
      </c>
      <c r="F15">
        <v>3</v>
      </c>
      <c r="W15" s="229"/>
    </row>
    <row r="16" spans="2:23" ht="17" customHeight="1" x14ac:dyDescent="0.2">
      <c r="B16">
        <v>2</v>
      </c>
      <c r="C16">
        <v>1</v>
      </c>
      <c r="D16">
        <v>0</v>
      </c>
      <c r="E16">
        <v>1</v>
      </c>
      <c r="F16">
        <v>2</v>
      </c>
      <c r="W16" s="229"/>
    </row>
    <row r="17" spans="2:30" ht="17" customHeight="1" x14ac:dyDescent="0.2">
      <c r="B17">
        <v>2</v>
      </c>
      <c r="C17">
        <v>3</v>
      </c>
      <c r="D17">
        <v>4</v>
      </c>
      <c r="E17">
        <v>3</v>
      </c>
      <c r="F17">
        <v>2</v>
      </c>
      <c r="W17" s="229"/>
      <c r="AD17" t="s">
        <v>179</v>
      </c>
    </row>
    <row r="18" spans="2:30" ht="17" customHeight="1" x14ac:dyDescent="0.2">
      <c r="B18">
        <v>0</v>
      </c>
      <c r="C18">
        <v>0</v>
      </c>
      <c r="D18">
        <v>1</v>
      </c>
      <c r="E18">
        <v>2</v>
      </c>
      <c r="F18">
        <v>3</v>
      </c>
      <c r="W18" s="229"/>
    </row>
    <row r="19" spans="2:30" ht="17" customHeight="1" x14ac:dyDescent="0.2">
      <c r="B19">
        <v>4</v>
      </c>
      <c r="C19">
        <v>4</v>
      </c>
      <c r="D19">
        <v>3</v>
      </c>
      <c r="E19">
        <v>2</v>
      </c>
      <c r="F19">
        <v>1</v>
      </c>
    </row>
    <row r="20" spans="2:30" ht="17" customHeight="1" x14ac:dyDescent="0.2">
      <c r="B20">
        <v>1</v>
      </c>
      <c r="C20">
        <v>2</v>
      </c>
      <c r="D20">
        <v>3</v>
      </c>
      <c r="E20">
        <v>2</v>
      </c>
      <c r="F20">
        <v>1</v>
      </c>
    </row>
    <row r="21" spans="2:30" ht="17" customHeight="1" x14ac:dyDescent="0.2">
      <c r="B21">
        <v>3</v>
      </c>
      <c r="C21">
        <v>2</v>
      </c>
      <c r="D21">
        <v>1</v>
      </c>
      <c r="E21">
        <v>2</v>
      </c>
      <c r="F21">
        <v>3</v>
      </c>
    </row>
    <row r="22" spans="2:30" ht="17" customHeight="1" x14ac:dyDescent="0.2"/>
    <row r="23" spans="2:30" ht="17" customHeight="1" x14ac:dyDescent="0.2"/>
    <row r="24" spans="2:30" x14ac:dyDescent="0.2">
      <c r="B24" t="s">
        <v>158</v>
      </c>
    </row>
    <row r="25" spans="2:30" x14ac:dyDescent="0.2">
      <c r="B25" t="s">
        <v>150</v>
      </c>
      <c r="C25" s="221" t="s">
        <v>151</v>
      </c>
      <c r="D25" s="222" t="s">
        <v>152</v>
      </c>
      <c r="E25" s="222" t="s">
        <v>153</v>
      </c>
      <c r="F25" s="222" t="s">
        <v>154</v>
      </c>
      <c r="G25" s="222" t="s">
        <v>174</v>
      </c>
    </row>
    <row r="26" spans="2:30" x14ac:dyDescent="0.2">
      <c r="B26">
        <v>11</v>
      </c>
      <c r="C26" s="223" t="s">
        <v>157</v>
      </c>
      <c r="D26" s="103">
        <v>0</v>
      </c>
      <c r="E26" s="103">
        <v>0</v>
      </c>
      <c r="F26" s="103">
        <v>0</v>
      </c>
      <c r="G26" s="103" t="s">
        <v>157</v>
      </c>
    </row>
    <row r="27" spans="2:30" x14ac:dyDescent="0.2">
      <c r="B27">
        <v>0</v>
      </c>
      <c r="C27" s="223" t="s">
        <v>15</v>
      </c>
      <c r="D27" s="103">
        <v>20</v>
      </c>
      <c r="E27" s="103">
        <v>10</v>
      </c>
      <c r="F27" s="103">
        <v>5</v>
      </c>
      <c r="G27" s="103" t="s">
        <v>175</v>
      </c>
    </row>
    <row r="28" spans="2:30" x14ac:dyDescent="0.2">
      <c r="B28">
        <v>1</v>
      </c>
      <c r="C28" s="223" t="s">
        <v>16</v>
      </c>
      <c r="D28" s="103">
        <v>5</v>
      </c>
      <c r="E28" s="103">
        <v>3</v>
      </c>
      <c r="F28" s="103">
        <v>2</v>
      </c>
      <c r="G28" s="103" t="s">
        <v>175</v>
      </c>
    </row>
    <row r="29" spans="2:30" x14ac:dyDescent="0.2">
      <c r="B29">
        <v>2</v>
      </c>
      <c r="C29" s="223" t="s">
        <v>17</v>
      </c>
      <c r="D29" s="103">
        <v>3</v>
      </c>
      <c r="E29" s="103">
        <v>2</v>
      </c>
      <c r="F29" s="103">
        <v>1</v>
      </c>
      <c r="G29" s="103" t="s">
        <v>175</v>
      </c>
    </row>
    <row r="30" spans="2:30" x14ac:dyDescent="0.2">
      <c r="B30">
        <v>3</v>
      </c>
      <c r="C30" s="223" t="s">
        <v>19</v>
      </c>
      <c r="D30" s="103">
        <v>2</v>
      </c>
      <c r="E30" s="103">
        <v>1</v>
      </c>
      <c r="F30" s="103">
        <v>0.5</v>
      </c>
      <c r="G30" s="103" t="s">
        <v>175</v>
      </c>
    </row>
    <row r="31" spans="2:30" x14ac:dyDescent="0.2">
      <c r="B31">
        <v>4</v>
      </c>
      <c r="C31" s="223" t="s">
        <v>24</v>
      </c>
      <c r="D31" s="103">
        <v>1</v>
      </c>
      <c r="E31" s="103">
        <v>0.5</v>
      </c>
      <c r="F31" s="103">
        <v>0.2</v>
      </c>
      <c r="G31" s="103" t="s">
        <v>175</v>
      </c>
    </row>
    <row r="32" spans="2:30" x14ac:dyDescent="0.2">
      <c r="B32">
        <v>5</v>
      </c>
      <c r="C32" s="223" t="s">
        <v>118</v>
      </c>
      <c r="D32" s="103">
        <v>0.5</v>
      </c>
      <c r="E32" s="103">
        <v>0.2</v>
      </c>
      <c r="F32" s="103">
        <v>0.1</v>
      </c>
      <c r="G32" s="103" t="s">
        <v>175</v>
      </c>
    </row>
    <row r="33" spans="2:22" x14ac:dyDescent="0.2">
      <c r="B33">
        <v>6</v>
      </c>
      <c r="C33" s="223" t="s">
        <v>119</v>
      </c>
      <c r="D33" s="103">
        <v>0.5</v>
      </c>
      <c r="E33" s="103">
        <v>0.2</v>
      </c>
      <c r="F33" s="103">
        <v>0.1</v>
      </c>
      <c r="G33" s="103" t="s">
        <v>175</v>
      </c>
    </row>
    <row r="34" spans="2:22" x14ac:dyDescent="0.2">
      <c r="B34">
        <v>7</v>
      </c>
      <c r="C34" s="223" t="s">
        <v>120</v>
      </c>
      <c r="D34" s="103">
        <v>0.5</v>
      </c>
      <c r="E34" s="103">
        <v>0.2</v>
      </c>
      <c r="F34" s="103">
        <v>0.1</v>
      </c>
      <c r="G34" s="103" t="s">
        <v>175</v>
      </c>
    </row>
    <row r="35" spans="2:22" x14ac:dyDescent="0.2">
      <c r="B35">
        <v>8</v>
      </c>
      <c r="C35" s="223" t="s">
        <v>121</v>
      </c>
      <c r="D35" s="103">
        <v>0.5</v>
      </c>
      <c r="E35" s="103">
        <v>0.2</v>
      </c>
      <c r="F35" s="103">
        <v>0.1</v>
      </c>
      <c r="G35" s="103" t="s">
        <v>175</v>
      </c>
    </row>
    <row r="36" spans="2:22" x14ac:dyDescent="0.2">
      <c r="B36">
        <v>9</v>
      </c>
      <c r="C36" s="223" t="s">
        <v>122</v>
      </c>
      <c r="D36" s="103">
        <v>0.5</v>
      </c>
      <c r="E36" s="103">
        <v>0.2</v>
      </c>
      <c r="F36" s="103">
        <v>0.1</v>
      </c>
      <c r="G36" s="103" t="s">
        <v>175</v>
      </c>
    </row>
    <row r="37" spans="2:22" x14ac:dyDescent="0.2">
      <c r="B37">
        <v>10</v>
      </c>
      <c r="C37" s="219" t="s">
        <v>155</v>
      </c>
      <c r="D37" s="220">
        <v>0</v>
      </c>
      <c r="E37" s="220">
        <v>0</v>
      </c>
      <c r="F37" s="220">
        <v>0</v>
      </c>
      <c r="G37" s="220" t="s">
        <v>176</v>
      </c>
    </row>
    <row r="38" spans="2:22" x14ac:dyDescent="0.2">
      <c r="B38">
        <v>12</v>
      </c>
      <c r="C38" s="219" t="s">
        <v>156</v>
      </c>
      <c r="D38" s="220">
        <v>0</v>
      </c>
      <c r="E38" s="220">
        <v>0</v>
      </c>
      <c r="F38" s="220">
        <v>0</v>
      </c>
      <c r="G38" s="220" t="s">
        <v>176</v>
      </c>
    </row>
    <row r="41" spans="2:22" x14ac:dyDescent="0.2">
      <c r="B41" t="s">
        <v>125</v>
      </c>
    </row>
    <row r="42" spans="2:22" x14ac:dyDescent="0.2">
      <c r="E42" t="s">
        <v>177</v>
      </c>
    </row>
    <row r="43" spans="2:22" x14ac:dyDescent="0.2">
      <c r="B43" t="s">
        <v>137</v>
      </c>
      <c r="E43" t="s">
        <v>163</v>
      </c>
      <c r="F43" t="s">
        <v>164</v>
      </c>
    </row>
    <row r="44" spans="2:22" x14ac:dyDescent="0.2">
      <c r="B44" t="s">
        <v>126</v>
      </c>
      <c r="C44" t="s">
        <v>127</v>
      </c>
      <c r="E44">
        <v>3</v>
      </c>
      <c r="F44">
        <v>5</v>
      </c>
    </row>
    <row r="45" spans="2:22" x14ac:dyDescent="0.2">
      <c r="B45">
        <v>0</v>
      </c>
      <c r="C45">
        <v>3</v>
      </c>
    </row>
    <row r="46" spans="2:22" x14ac:dyDescent="0.2">
      <c r="B46">
        <v>1</v>
      </c>
      <c r="C46">
        <v>1</v>
      </c>
    </row>
    <row r="47" spans="2:22" ht="17" thickBot="1" x14ac:dyDescent="0.25"/>
    <row r="48" spans="2:22" x14ac:dyDescent="0.2">
      <c r="B48" s="18" t="s">
        <v>128</v>
      </c>
      <c r="C48" s="124"/>
      <c r="D48" s="124"/>
      <c r="E48" s="124"/>
      <c r="F48" s="124" t="s">
        <v>130</v>
      </c>
      <c r="G48" s="124"/>
      <c r="H48" s="124"/>
      <c r="I48" s="124"/>
      <c r="J48" s="124"/>
      <c r="K48" s="125"/>
      <c r="M48" s="18" t="s">
        <v>133</v>
      </c>
      <c r="N48" s="124"/>
      <c r="O48" s="124"/>
      <c r="P48" s="124"/>
      <c r="Q48" s="124" t="s">
        <v>134</v>
      </c>
      <c r="R48" s="124"/>
      <c r="S48" s="124"/>
      <c r="T48" s="124"/>
      <c r="U48" s="124"/>
      <c r="V48" s="125"/>
    </row>
    <row r="49" spans="2:22" x14ac:dyDescent="0.2">
      <c r="B49" s="27" t="s">
        <v>126</v>
      </c>
      <c r="C49" t="s">
        <v>127</v>
      </c>
      <c r="F49" t="s">
        <v>129</v>
      </c>
      <c r="G49">
        <v>0</v>
      </c>
      <c r="H49">
        <v>1</v>
      </c>
      <c r="I49">
        <v>2</v>
      </c>
      <c r="J49">
        <v>3</v>
      </c>
      <c r="K49" s="74">
        <v>4</v>
      </c>
      <c r="M49" s="27" t="s">
        <v>126</v>
      </c>
      <c r="N49" t="s">
        <v>127</v>
      </c>
      <c r="Q49" t="s">
        <v>129</v>
      </c>
      <c r="R49">
        <v>0</v>
      </c>
      <c r="S49">
        <v>1</v>
      </c>
      <c r="T49">
        <v>2</v>
      </c>
      <c r="U49">
        <v>3</v>
      </c>
      <c r="V49" s="74">
        <v>4</v>
      </c>
    </row>
    <row r="50" spans="2:22" x14ac:dyDescent="0.2">
      <c r="B50" s="27">
        <v>0</v>
      </c>
      <c r="C50">
        <v>14000</v>
      </c>
      <c r="F50">
        <v>0</v>
      </c>
      <c r="G50">
        <v>1</v>
      </c>
      <c r="H50">
        <v>1</v>
      </c>
      <c r="I50">
        <v>1</v>
      </c>
      <c r="J50">
        <v>1</v>
      </c>
      <c r="K50" s="74">
        <v>1</v>
      </c>
      <c r="M50" s="27">
        <v>0</v>
      </c>
      <c r="N50">
        <v>1</v>
      </c>
      <c r="Q50">
        <v>0</v>
      </c>
      <c r="R50">
        <v>1</v>
      </c>
      <c r="S50">
        <v>1</v>
      </c>
      <c r="T50">
        <v>1</v>
      </c>
      <c r="U50">
        <v>1</v>
      </c>
      <c r="V50" s="74">
        <v>1</v>
      </c>
    </row>
    <row r="51" spans="2:22" x14ac:dyDescent="0.2">
      <c r="B51" s="27">
        <v>1</v>
      </c>
      <c r="C51">
        <v>14000</v>
      </c>
      <c r="F51">
        <v>1</v>
      </c>
      <c r="G51">
        <v>1</v>
      </c>
      <c r="H51">
        <v>1</v>
      </c>
      <c r="I51">
        <v>1</v>
      </c>
      <c r="J51">
        <v>1</v>
      </c>
      <c r="K51" s="74">
        <v>1</v>
      </c>
      <c r="M51" s="27">
        <v>1</v>
      </c>
      <c r="N51">
        <v>0</v>
      </c>
      <c r="Q51">
        <v>1</v>
      </c>
      <c r="R51">
        <v>1</v>
      </c>
      <c r="S51">
        <v>1</v>
      </c>
      <c r="T51">
        <v>1</v>
      </c>
      <c r="U51">
        <v>1</v>
      </c>
      <c r="V51" s="74">
        <v>1</v>
      </c>
    </row>
    <row r="52" spans="2:22" x14ac:dyDescent="0.2">
      <c r="B52" s="27">
        <v>2</v>
      </c>
      <c r="C52">
        <v>6000</v>
      </c>
      <c r="F52">
        <v>2</v>
      </c>
      <c r="G52">
        <v>1</v>
      </c>
      <c r="H52">
        <v>1</v>
      </c>
      <c r="I52">
        <v>1</v>
      </c>
      <c r="J52">
        <v>1</v>
      </c>
      <c r="K52" s="74">
        <v>1</v>
      </c>
      <c r="M52" s="27">
        <v>2</v>
      </c>
      <c r="N52">
        <v>0</v>
      </c>
      <c r="Q52">
        <v>2</v>
      </c>
      <c r="R52">
        <v>1</v>
      </c>
      <c r="S52">
        <v>1</v>
      </c>
      <c r="T52">
        <v>1</v>
      </c>
      <c r="U52">
        <v>1</v>
      </c>
      <c r="V52" s="74">
        <v>1</v>
      </c>
    </row>
    <row r="53" spans="2:22" x14ac:dyDescent="0.2">
      <c r="B53" s="27">
        <v>3</v>
      </c>
      <c r="C53">
        <v>4650</v>
      </c>
      <c r="F53">
        <v>3</v>
      </c>
      <c r="G53">
        <v>1</v>
      </c>
      <c r="H53">
        <v>1</v>
      </c>
      <c r="I53">
        <v>1</v>
      </c>
      <c r="J53">
        <v>1</v>
      </c>
      <c r="K53" s="74">
        <v>1</v>
      </c>
      <c r="M53" s="27">
        <v>3</v>
      </c>
      <c r="N53">
        <v>0</v>
      </c>
      <c r="Q53">
        <v>3</v>
      </c>
      <c r="R53">
        <v>1</v>
      </c>
      <c r="S53">
        <v>1</v>
      </c>
      <c r="T53">
        <v>1</v>
      </c>
      <c r="U53">
        <v>1</v>
      </c>
      <c r="V53" s="74">
        <v>1</v>
      </c>
    </row>
    <row r="54" spans="2:22" x14ac:dyDescent="0.2">
      <c r="B54" s="27">
        <v>4</v>
      </c>
      <c r="C54">
        <v>0</v>
      </c>
      <c r="F54">
        <v>4</v>
      </c>
      <c r="G54">
        <v>1</v>
      </c>
      <c r="H54">
        <v>1</v>
      </c>
      <c r="I54">
        <v>1</v>
      </c>
      <c r="J54">
        <v>1</v>
      </c>
      <c r="K54" s="74">
        <v>1</v>
      </c>
      <c r="M54" s="27">
        <v>4</v>
      </c>
      <c r="N54">
        <v>0</v>
      </c>
      <c r="Q54">
        <v>4</v>
      </c>
      <c r="R54">
        <v>1</v>
      </c>
      <c r="S54">
        <v>1</v>
      </c>
      <c r="T54">
        <v>1</v>
      </c>
      <c r="U54">
        <v>1</v>
      </c>
      <c r="V54" s="74">
        <v>1</v>
      </c>
    </row>
    <row r="55" spans="2:22" x14ac:dyDescent="0.2">
      <c r="B55" s="27">
        <v>5</v>
      </c>
      <c r="C55">
        <v>0</v>
      </c>
      <c r="K55" s="74"/>
      <c r="M55" s="27">
        <v>5</v>
      </c>
      <c r="N55">
        <v>0</v>
      </c>
      <c r="V55" s="74"/>
    </row>
    <row r="56" spans="2:22" x14ac:dyDescent="0.2">
      <c r="B56" s="27"/>
      <c r="K56" s="74"/>
      <c r="M56" s="27"/>
      <c r="V56" s="74"/>
    </row>
    <row r="57" spans="2:22" x14ac:dyDescent="0.2">
      <c r="B57" s="27" t="s">
        <v>131</v>
      </c>
      <c r="F57" t="s">
        <v>132</v>
      </c>
      <c r="K57" s="74"/>
      <c r="M57" s="27" t="s">
        <v>135</v>
      </c>
      <c r="Q57" t="s">
        <v>136</v>
      </c>
      <c r="V57" s="74"/>
    </row>
    <row r="58" spans="2:22" x14ac:dyDescent="0.2">
      <c r="B58" s="27" t="s">
        <v>126</v>
      </c>
      <c r="C58" t="s">
        <v>127</v>
      </c>
      <c r="F58" t="s">
        <v>129</v>
      </c>
      <c r="G58">
        <v>0</v>
      </c>
      <c r="H58">
        <v>1</v>
      </c>
      <c r="I58">
        <v>2</v>
      </c>
      <c r="J58">
        <v>3</v>
      </c>
      <c r="K58" s="74">
        <v>4</v>
      </c>
      <c r="M58" s="27" t="s">
        <v>126</v>
      </c>
      <c r="N58" t="s">
        <v>127</v>
      </c>
      <c r="Q58" t="s">
        <v>129</v>
      </c>
      <c r="R58">
        <v>0</v>
      </c>
      <c r="S58">
        <v>1</v>
      </c>
      <c r="T58">
        <v>2</v>
      </c>
      <c r="U58">
        <v>3</v>
      </c>
      <c r="V58" s="74">
        <v>4</v>
      </c>
    </row>
    <row r="59" spans="2:22" x14ac:dyDescent="0.2">
      <c r="B59" s="27">
        <v>0</v>
      </c>
      <c r="C59">
        <v>14000</v>
      </c>
      <c r="F59">
        <v>0</v>
      </c>
      <c r="G59">
        <v>1</v>
      </c>
      <c r="H59">
        <v>0</v>
      </c>
      <c r="I59">
        <v>1</v>
      </c>
      <c r="J59">
        <v>0</v>
      </c>
      <c r="K59" s="74">
        <v>1</v>
      </c>
      <c r="M59" s="27">
        <v>0</v>
      </c>
      <c r="N59">
        <v>14000</v>
      </c>
      <c r="Q59">
        <v>0</v>
      </c>
      <c r="R59">
        <v>1</v>
      </c>
      <c r="S59">
        <v>0</v>
      </c>
      <c r="T59">
        <v>1</v>
      </c>
      <c r="U59">
        <v>0</v>
      </c>
      <c r="V59" s="74">
        <v>1</v>
      </c>
    </row>
    <row r="60" spans="2:22" x14ac:dyDescent="0.2">
      <c r="B60" s="27">
        <v>1</v>
      </c>
      <c r="C60">
        <v>0</v>
      </c>
      <c r="F60">
        <v>1</v>
      </c>
      <c r="G60">
        <v>1</v>
      </c>
      <c r="H60">
        <v>0</v>
      </c>
      <c r="I60">
        <v>1</v>
      </c>
      <c r="J60">
        <v>0</v>
      </c>
      <c r="K60" s="74">
        <v>1</v>
      </c>
      <c r="M60" s="27">
        <v>1</v>
      </c>
      <c r="N60">
        <v>14000</v>
      </c>
      <c r="Q60">
        <v>1</v>
      </c>
      <c r="R60">
        <v>1</v>
      </c>
      <c r="S60">
        <v>0</v>
      </c>
      <c r="T60">
        <v>1</v>
      </c>
      <c r="U60">
        <v>0</v>
      </c>
      <c r="V60" s="74">
        <v>1</v>
      </c>
    </row>
    <row r="61" spans="2:22" x14ac:dyDescent="0.2">
      <c r="B61" s="27">
        <v>2</v>
      </c>
      <c r="C61">
        <v>0</v>
      </c>
      <c r="F61">
        <v>2</v>
      </c>
      <c r="G61">
        <v>1</v>
      </c>
      <c r="H61">
        <v>0</v>
      </c>
      <c r="I61">
        <v>1</v>
      </c>
      <c r="J61">
        <v>0</v>
      </c>
      <c r="K61" s="74">
        <v>1</v>
      </c>
      <c r="M61" s="27">
        <v>2</v>
      </c>
      <c r="N61">
        <v>6000</v>
      </c>
      <c r="Q61">
        <v>2</v>
      </c>
      <c r="R61">
        <v>1</v>
      </c>
      <c r="S61">
        <v>0</v>
      </c>
      <c r="T61">
        <v>1</v>
      </c>
      <c r="U61">
        <v>0</v>
      </c>
      <c r="V61" s="74">
        <v>1</v>
      </c>
    </row>
    <row r="62" spans="2:22" x14ac:dyDescent="0.2">
      <c r="B62" s="27">
        <v>3</v>
      </c>
      <c r="C62">
        <v>0</v>
      </c>
      <c r="F62">
        <v>3</v>
      </c>
      <c r="G62">
        <v>1</v>
      </c>
      <c r="H62">
        <v>0</v>
      </c>
      <c r="I62">
        <v>1</v>
      </c>
      <c r="J62">
        <v>0</v>
      </c>
      <c r="K62" s="74">
        <v>1</v>
      </c>
      <c r="M62" s="27">
        <v>3</v>
      </c>
      <c r="N62">
        <v>1000</v>
      </c>
      <c r="Q62">
        <v>3</v>
      </c>
      <c r="R62">
        <v>1</v>
      </c>
      <c r="S62">
        <v>0</v>
      </c>
      <c r="T62">
        <v>1</v>
      </c>
      <c r="U62">
        <v>0</v>
      </c>
      <c r="V62" s="74">
        <v>1</v>
      </c>
    </row>
    <row r="63" spans="2:22" ht="17" thickBot="1" x14ac:dyDescent="0.25">
      <c r="B63" s="33"/>
      <c r="C63" s="106"/>
      <c r="D63" s="106"/>
      <c r="E63" s="106"/>
      <c r="F63" s="106">
        <v>4</v>
      </c>
      <c r="G63" s="106">
        <v>1</v>
      </c>
      <c r="H63" s="106">
        <v>0</v>
      </c>
      <c r="I63" s="106">
        <v>1</v>
      </c>
      <c r="J63" s="106">
        <v>0</v>
      </c>
      <c r="K63" s="107">
        <v>1</v>
      </c>
      <c r="M63" s="33"/>
      <c r="N63" s="106"/>
      <c r="O63" s="106"/>
      <c r="P63" s="106"/>
      <c r="Q63" s="106">
        <v>4</v>
      </c>
      <c r="R63" s="106">
        <v>1</v>
      </c>
      <c r="S63" s="106">
        <v>0</v>
      </c>
      <c r="T63" s="106">
        <v>1</v>
      </c>
      <c r="U63" s="106">
        <v>0</v>
      </c>
      <c r="V63" s="107">
        <v>1</v>
      </c>
    </row>
    <row r="65" spans="2:22" x14ac:dyDescent="0.2">
      <c r="B65" t="s">
        <v>138</v>
      </c>
    </row>
    <row r="67" spans="2:22" x14ac:dyDescent="0.2">
      <c r="B67" t="s">
        <v>139</v>
      </c>
    </row>
    <row r="68" spans="2:22" x14ac:dyDescent="0.2">
      <c r="B68" t="s">
        <v>126</v>
      </c>
      <c r="C68" t="s">
        <v>127</v>
      </c>
    </row>
    <row r="69" spans="2:22" x14ac:dyDescent="0.2">
      <c r="B69">
        <v>0</v>
      </c>
      <c r="C69">
        <v>3</v>
      </c>
    </row>
    <row r="70" spans="2:22" x14ac:dyDescent="0.2">
      <c r="B70">
        <v>1</v>
      </c>
      <c r="C70">
        <v>1</v>
      </c>
    </row>
    <row r="71" spans="2:22" ht="17" thickBot="1" x14ac:dyDescent="0.25"/>
    <row r="72" spans="2:22" x14ac:dyDescent="0.2">
      <c r="B72" s="18" t="s">
        <v>140</v>
      </c>
      <c r="C72" s="124"/>
      <c r="D72" s="124"/>
      <c r="E72" s="124"/>
      <c r="F72" s="124" t="s">
        <v>141</v>
      </c>
      <c r="G72" s="124"/>
      <c r="H72" s="124"/>
      <c r="I72" s="124"/>
      <c r="J72" s="124"/>
      <c r="K72" s="124"/>
      <c r="L72" s="124"/>
      <c r="M72" s="124" t="s">
        <v>142</v>
      </c>
      <c r="N72" s="124"/>
      <c r="O72" s="124"/>
      <c r="P72" s="124"/>
      <c r="Q72" s="124" t="s">
        <v>143</v>
      </c>
      <c r="R72" s="124"/>
      <c r="S72" s="124"/>
      <c r="T72" s="124"/>
      <c r="U72" s="124"/>
      <c r="V72" s="125"/>
    </row>
    <row r="73" spans="2:22" x14ac:dyDescent="0.2">
      <c r="B73" s="27" t="s">
        <v>126</v>
      </c>
      <c r="C73" t="s">
        <v>127</v>
      </c>
      <c r="F73" t="s">
        <v>129</v>
      </c>
      <c r="G73">
        <v>0</v>
      </c>
      <c r="H73">
        <v>1</v>
      </c>
      <c r="I73">
        <v>2</v>
      </c>
      <c r="J73">
        <v>3</v>
      </c>
      <c r="K73">
        <v>4</v>
      </c>
      <c r="M73" t="s">
        <v>126</v>
      </c>
      <c r="N73" t="s">
        <v>127</v>
      </c>
      <c r="Q73" t="s">
        <v>129</v>
      </c>
      <c r="R73">
        <v>0</v>
      </c>
      <c r="S73">
        <v>1</v>
      </c>
      <c r="T73">
        <v>2</v>
      </c>
      <c r="U73">
        <v>3</v>
      </c>
      <c r="V73" s="74">
        <v>4</v>
      </c>
    </row>
    <row r="74" spans="2:22" x14ac:dyDescent="0.2">
      <c r="B74" s="27">
        <v>0</v>
      </c>
      <c r="C74">
        <v>14000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M74">
        <v>0</v>
      </c>
      <c r="N74">
        <v>14000</v>
      </c>
      <c r="Q74">
        <v>0</v>
      </c>
      <c r="R74">
        <v>1</v>
      </c>
      <c r="S74">
        <v>1</v>
      </c>
      <c r="T74">
        <v>1</v>
      </c>
      <c r="U74">
        <v>1</v>
      </c>
      <c r="V74" s="74">
        <v>1</v>
      </c>
    </row>
    <row r="75" spans="2:22" x14ac:dyDescent="0.2">
      <c r="B75" s="27">
        <v>1</v>
      </c>
      <c r="C75">
        <v>14000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M75">
        <v>1</v>
      </c>
      <c r="N75">
        <v>14000</v>
      </c>
      <c r="Q75">
        <v>1</v>
      </c>
      <c r="R75">
        <v>1</v>
      </c>
      <c r="S75">
        <v>1</v>
      </c>
      <c r="T75">
        <v>1</v>
      </c>
      <c r="U75">
        <v>1</v>
      </c>
      <c r="V75" s="74">
        <v>1</v>
      </c>
    </row>
    <row r="76" spans="2:22" x14ac:dyDescent="0.2">
      <c r="B76" s="27">
        <v>2</v>
      </c>
      <c r="C76">
        <v>6000</v>
      </c>
      <c r="F76">
        <v>2</v>
      </c>
      <c r="G76">
        <v>1</v>
      </c>
      <c r="H76">
        <v>1</v>
      </c>
      <c r="I76">
        <v>1</v>
      </c>
      <c r="J76">
        <v>1</v>
      </c>
      <c r="K76">
        <v>1</v>
      </c>
      <c r="M76">
        <v>2</v>
      </c>
      <c r="N76">
        <v>6000</v>
      </c>
      <c r="Q76">
        <v>2</v>
      </c>
      <c r="R76">
        <v>1</v>
      </c>
      <c r="S76">
        <v>1</v>
      </c>
      <c r="T76">
        <v>1</v>
      </c>
      <c r="U76">
        <v>1</v>
      </c>
      <c r="V76" s="74">
        <v>1</v>
      </c>
    </row>
    <row r="77" spans="2:22" x14ac:dyDescent="0.2">
      <c r="B77" s="27">
        <v>3</v>
      </c>
      <c r="C77">
        <v>4650</v>
      </c>
      <c r="F77">
        <v>3</v>
      </c>
      <c r="G77">
        <v>1</v>
      </c>
      <c r="H77">
        <v>1</v>
      </c>
      <c r="I77">
        <v>1</v>
      </c>
      <c r="J77">
        <v>1</v>
      </c>
      <c r="K77">
        <v>1</v>
      </c>
      <c r="M77">
        <v>3</v>
      </c>
      <c r="N77">
        <v>4650</v>
      </c>
      <c r="Q77">
        <v>3</v>
      </c>
      <c r="R77">
        <v>1</v>
      </c>
      <c r="S77">
        <v>1</v>
      </c>
      <c r="T77">
        <v>1</v>
      </c>
      <c r="U77">
        <v>1</v>
      </c>
      <c r="V77" s="74">
        <v>1</v>
      </c>
    </row>
    <row r="78" spans="2:22" x14ac:dyDescent="0.2">
      <c r="B78" s="27">
        <v>4</v>
      </c>
      <c r="C78">
        <v>0</v>
      </c>
      <c r="F78">
        <v>4</v>
      </c>
      <c r="G78">
        <v>1</v>
      </c>
      <c r="H78">
        <v>1</v>
      </c>
      <c r="I78">
        <v>1</v>
      </c>
      <c r="J78">
        <v>1</v>
      </c>
      <c r="K78">
        <v>1</v>
      </c>
      <c r="M78">
        <v>4</v>
      </c>
      <c r="N78">
        <v>0</v>
      </c>
      <c r="Q78">
        <v>4</v>
      </c>
      <c r="R78">
        <v>1</v>
      </c>
      <c r="S78">
        <v>1</v>
      </c>
      <c r="T78">
        <v>1</v>
      </c>
      <c r="U78">
        <v>1</v>
      </c>
      <c r="V78" s="74">
        <v>1</v>
      </c>
    </row>
    <row r="79" spans="2:22" x14ac:dyDescent="0.2">
      <c r="B79" s="27">
        <v>5</v>
      </c>
      <c r="C79">
        <v>612</v>
      </c>
      <c r="M79">
        <v>5</v>
      </c>
      <c r="N79">
        <v>612</v>
      </c>
      <c r="V79" s="74"/>
    </row>
    <row r="80" spans="2:22" x14ac:dyDescent="0.2">
      <c r="B80" s="27"/>
      <c r="V80" s="74"/>
    </row>
    <row r="81" spans="2:22" x14ac:dyDescent="0.2">
      <c r="B81" s="27" t="s">
        <v>144</v>
      </c>
      <c r="F81" t="s">
        <v>145</v>
      </c>
      <c r="M81" t="s">
        <v>146</v>
      </c>
      <c r="Q81" t="s">
        <v>147</v>
      </c>
      <c r="V81" s="74"/>
    </row>
    <row r="82" spans="2:22" x14ac:dyDescent="0.2">
      <c r="B82" s="27" t="s">
        <v>126</v>
      </c>
      <c r="C82" t="s">
        <v>127</v>
      </c>
      <c r="F82" t="s">
        <v>129</v>
      </c>
      <c r="G82">
        <v>0</v>
      </c>
      <c r="H82">
        <v>1</v>
      </c>
      <c r="I82">
        <v>2</v>
      </c>
      <c r="J82">
        <v>3</v>
      </c>
      <c r="K82">
        <v>4</v>
      </c>
      <c r="M82" t="s">
        <v>126</v>
      </c>
      <c r="N82" t="s">
        <v>127</v>
      </c>
      <c r="Q82" t="s">
        <v>129</v>
      </c>
      <c r="R82">
        <v>0</v>
      </c>
      <c r="S82">
        <v>1</v>
      </c>
      <c r="T82">
        <v>2</v>
      </c>
      <c r="U82">
        <v>3</v>
      </c>
      <c r="V82" s="74">
        <v>4</v>
      </c>
    </row>
    <row r="83" spans="2:22" x14ac:dyDescent="0.2">
      <c r="B83" s="27">
        <v>0</v>
      </c>
      <c r="C83">
        <v>14000</v>
      </c>
      <c r="F83">
        <v>0</v>
      </c>
      <c r="G83">
        <v>1</v>
      </c>
      <c r="H83">
        <v>0</v>
      </c>
      <c r="I83">
        <v>1</v>
      </c>
      <c r="J83">
        <v>0</v>
      </c>
      <c r="K83">
        <v>1</v>
      </c>
      <c r="M83">
        <v>0</v>
      </c>
      <c r="N83">
        <v>14000</v>
      </c>
      <c r="Q83">
        <v>0</v>
      </c>
      <c r="R83">
        <v>1</v>
      </c>
      <c r="S83">
        <v>0</v>
      </c>
      <c r="T83">
        <v>1</v>
      </c>
      <c r="U83">
        <v>0</v>
      </c>
      <c r="V83" s="74">
        <v>1</v>
      </c>
    </row>
    <row r="84" spans="2:22" x14ac:dyDescent="0.2">
      <c r="B84" s="27">
        <v>1</v>
      </c>
      <c r="C84">
        <v>0</v>
      </c>
      <c r="F84">
        <v>1</v>
      </c>
      <c r="G84">
        <v>1</v>
      </c>
      <c r="H84">
        <v>0</v>
      </c>
      <c r="I84">
        <v>1</v>
      </c>
      <c r="J84">
        <v>0</v>
      </c>
      <c r="K84">
        <v>1</v>
      </c>
      <c r="M84">
        <v>1</v>
      </c>
      <c r="N84">
        <v>0</v>
      </c>
      <c r="Q84">
        <v>1</v>
      </c>
      <c r="R84">
        <v>1</v>
      </c>
      <c r="S84">
        <v>0</v>
      </c>
      <c r="T84">
        <v>1</v>
      </c>
      <c r="U84">
        <v>0</v>
      </c>
      <c r="V84" s="74">
        <v>1</v>
      </c>
    </row>
    <row r="85" spans="2:22" x14ac:dyDescent="0.2">
      <c r="B85" s="27">
        <v>2</v>
      </c>
      <c r="C85">
        <v>0</v>
      </c>
      <c r="F85">
        <v>2</v>
      </c>
      <c r="G85">
        <v>1</v>
      </c>
      <c r="H85">
        <v>0</v>
      </c>
      <c r="I85">
        <v>1</v>
      </c>
      <c r="J85">
        <v>0</v>
      </c>
      <c r="K85">
        <v>1</v>
      </c>
      <c r="M85">
        <v>2</v>
      </c>
      <c r="N85">
        <v>0</v>
      </c>
      <c r="Q85">
        <v>2</v>
      </c>
      <c r="R85">
        <v>1</v>
      </c>
      <c r="S85">
        <v>0</v>
      </c>
      <c r="T85">
        <v>1</v>
      </c>
      <c r="U85">
        <v>0</v>
      </c>
      <c r="V85" s="74">
        <v>1</v>
      </c>
    </row>
    <row r="86" spans="2:22" x14ac:dyDescent="0.2">
      <c r="B86" s="27">
        <v>3</v>
      </c>
      <c r="C86">
        <v>0</v>
      </c>
      <c r="F86">
        <v>3</v>
      </c>
      <c r="G86">
        <v>1</v>
      </c>
      <c r="H86">
        <v>0</v>
      </c>
      <c r="I86">
        <v>1</v>
      </c>
      <c r="J86">
        <v>0</v>
      </c>
      <c r="K86">
        <v>1</v>
      </c>
      <c r="M86">
        <v>3</v>
      </c>
      <c r="N86">
        <v>0</v>
      </c>
      <c r="Q86">
        <v>3</v>
      </c>
      <c r="R86">
        <v>1</v>
      </c>
      <c r="S86">
        <v>0</v>
      </c>
      <c r="T86">
        <v>1</v>
      </c>
      <c r="U86">
        <v>0</v>
      </c>
      <c r="V86" s="74">
        <v>1</v>
      </c>
    </row>
    <row r="87" spans="2:22" x14ac:dyDescent="0.2">
      <c r="B87" s="27"/>
      <c r="F87">
        <v>4</v>
      </c>
      <c r="G87">
        <v>1</v>
      </c>
      <c r="H87">
        <v>0</v>
      </c>
      <c r="I87">
        <v>1</v>
      </c>
      <c r="J87">
        <v>0</v>
      </c>
      <c r="K87">
        <v>1</v>
      </c>
      <c r="Q87">
        <v>4</v>
      </c>
      <c r="R87">
        <v>1</v>
      </c>
      <c r="S87">
        <v>0</v>
      </c>
      <c r="T87">
        <v>1</v>
      </c>
      <c r="U87">
        <v>0</v>
      </c>
      <c r="V87" s="74">
        <v>1</v>
      </c>
    </row>
    <row r="88" spans="2:22" x14ac:dyDescent="0.2">
      <c r="B88" s="27"/>
      <c r="V88" s="74"/>
    </row>
    <row r="89" spans="2:22" x14ac:dyDescent="0.2">
      <c r="B89" s="27" t="s">
        <v>148</v>
      </c>
      <c r="M89" t="s">
        <v>149</v>
      </c>
      <c r="V89" s="74"/>
    </row>
    <row r="90" spans="2:22" x14ac:dyDescent="0.2">
      <c r="B90" s="27" t="s">
        <v>126</v>
      </c>
      <c r="C90" t="s">
        <v>127</v>
      </c>
      <c r="M90" t="s">
        <v>126</v>
      </c>
      <c r="N90" t="s">
        <v>127</v>
      </c>
      <c r="V90" s="74"/>
    </row>
    <row r="91" spans="2:22" x14ac:dyDescent="0.2">
      <c r="B91" s="27">
        <v>2</v>
      </c>
      <c r="C91">
        <v>14000</v>
      </c>
      <c r="M91">
        <v>2</v>
      </c>
      <c r="N91">
        <v>14000</v>
      </c>
      <c r="V91" s="74"/>
    </row>
    <row r="92" spans="2:22" x14ac:dyDescent="0.2">
      <c r="B92" s="27">
        <v>3</v>
      </c>
      <c r="C92">
        <v>14000</v>
      </c>
      <c r="M92">
        <v>3</v>
      </c>
      <c r="N92">
        <v>14000</v>
      </c>
      <c r="V92" s="74"/>
    </row>
    <row r="93" spans="2:22" x14ac:dyDescent="0.2">
      <c r="B93" s="27">
        <v>4</v>
      </c>
      <c r="C93">
        <v>6000</v>
      </c>
      <c r="M93">
        <v>4</v>
      </c>
      <c r="N93">
        <v>6000</v>
      </c>
      <c r="V93" s="74"/>
    </row>
    <row r="94" spans="2:22" x14ac:dyDescent="0.2">
      <c r="B94" s="27">
        <v>5</v>
      </c>
      <c r="C94">
        <v>4650</v>
      </c>
      <c r="M94">
        <v>5</v>
      </c>
      <c r="N94">
        <v>4650</v>
      </c>
      <c r="V94" s="74"/>
    </row>
    <row r="95" spans="2:22" x14ac:dyDescent="0.2">
      <c r="B95" s="27">
        <v>6</v>
      </c>
      <c r="C95">
        <v>0</v>
      </c>
      <c r="M95">
        <v>6</v>
      </c>
      <c r="N95">
        <v>0</v>
      </c>
      <c r="V95" s="74"/>
    </row>
    <row r="96" spans="2:22" ht="17" thickBot="1" x14ac:dyDescent="0.25">
      <c r="B96" s="33">
        <v>7</v>
      </c>
      <c r="C96" s="106">
        <v>612</v>
      </c>
      <c r="D96" s="106"/>
      <c r="E96" s="106"/>
      <c r="F96" s="106"/>
      <c r="G96" s="106"/>
      <c r="H96" s="106"/>
      <c r="I96" s="106"/>
      <c r="J96" s="106"/>
      <c r="K96" s="106"/>
      <c r="L96" s="106"/>
      <c r="M96" s="106">
        <v>7</v>
      </c>
      <c r="N96" s="106">
        <v>612</v>
      </c>
      <c r="O96" s="106"/>
      <c r="P96" s="106"/>
      <c r="Q96" s="106"/>
      <c r="R96" s="106"/>
      <c r="S96" s="106"/>
      <c r="T96" s="106"/>
      <c r="U96" s="106"/>
      <c r="V96" s="10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Reels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Kelly</dc:creator>
  <cp:lastModifiedBy>Connor Kelly</cp:lastModifiedBy>
  <dcterms:created xsi:type="dcterms:W3CDTF">2026-10-05T10:35:19Z</dcterms:created>
  <dcterms:modified xsi:type="dcterms:W3CDTF">2026-10-08T15:09:47Z</dcterms:modified>
</cp:coreProperties>
</file>